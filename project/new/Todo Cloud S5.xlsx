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EVAL\1_PrestaShop\project\new\"/>
    </mc:Choice>
  </mc:AlternateContent>
  <xr:revisionPtr revIDLastSave="0" documentId="13_ncr:1_{1A53A754-E75C-458A-AEC0-6E5F6B53DD76}" xr6:coauthVersionLast="47" xr6:coauthVersionMax="47" xr10:uidLastSave="{00000000-0000-0000-0000-000000000000}"/>
  <bookViews>
    <workbookView xWindow="12495" yWindow="0" windowWidth="12810" windowHeight="15135" activeTab="1" xr2:uid="{00000000-000D-0000-FFFF-FFFF00000000}"/>
  </bookViews>
  <sheets>
    <sheet name="groupe" sheetId="1" r:id="rId1"/>
    <sheet name="liste des taches" sheetId="2" r:id="rId2"/>
    <sheet name="Recap" sheetId="3" r:id="rId3"/>
    <sheet name="avancement" sheetId="4" r:id="rId4"/>
    <sheet name="detail_avancement" sheetId="5" r:id="rId5"/>
  </sheets>
  <calcPr calcId="191029"/>
  <pivotCaches>
    <pivotCache cacheId="4" r:id="rId6"/>
  </pivotCaches>
</workbook>
</file>

<file path=xl/calcChain.xml><?xml version="1.0" encoding="utf-8"?>
<calcChain xmlns="http://schemas.openxmlformats.org/spreadsheetml/2006/main">
  <c r="J43" i="2" l="1"/>
  <c r="K43" i="2" s="1"/>
  <c r="J44" i="2"/>
  <c r="K44" i="2"/>
  <c r="J42" i="2"/>
  <c r="K42" i="2"/>
  <c r="J45" i="2"/>
  <c r="K45" i="2"/>
  <c r="J46" i="2"/>
  <c r="K46" i="2"/>
  <c r="K38" i="2"/>
  <c r="J38" i="2"/>
  <c r="J23" i="2"/>
  <c r="K23" i="2" s="1"/>
  <c r="J24" i="2"/>
  <c r="K24" i="2" s="1"/>
  <c r="J25" i="2"/>
  <c r="K25" i="2" s="1"/>
  <c r="J22" i="2"/>
  <c r="K22" i="2" s="1"/>
  <c r="J19" i="2"/>
  <c r="K19" i="2" s="1"/>
  <c r="J20" i="2"/>
  <c r="K20" i="2" s="1"/>
  <c r="J21" i="2"/>
  <c r="K21" i="2"/>
  <c r="J18" i="2"/>
  <c r="K18" i="2" s="1"/>
  <c r="J17" i="2"/>
  <c r="K17" i="2" s="1"/>
  <c r="J16" i="2"/>
  <c r="K16" i="2" s="1"/>
  <c r="J15" i="2"/>
  <c r="K15" i="2" s="1"/>
  <c r="J9" i="2"/>
  <c r="K9" i="2" s="1"/>
  <c r="J10" i="2"/>
  <c r="K10" i="2" s="1"/>
  <c r="J8" i="2"/>
  <c r="K8" i="2" s="1"/>
  <c r="J7" i="2"/>
  <c r="K7" i="2" s="1"/>
  <c r="J37" i="2"/>
  <c r="K37" i="2" s="1"/>
  <c r="J36" i="2"/>
  <c r="K36" i="2" s="1"/>
  <c r="J6" i="2"/>
  <c r="K6" i="2" s="1"/>
  <c r="J11" i="2"/>
  <c r="K11" i="2" s="1"/>
  <c r="J12" i="2"/>
  <c r="K12" i="2" s="1"/>
  <c r="J13" i="2"/>
  <c r="K13" i="2" s="1"/>
  <c r="J14" i="2"/>
  <c r="J26" i="2"/>
  <c r="K26" i="2" s="1"/>
  <c r="J27" i="2"/>
  <c r="K27" i="2" s="1"/>
  <c r="J28" i="2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9" i="2"/>
  <c r="K39" i="2" s="1"/>
  <c r="J40" i="2"/>
  <c r="K40" i="2" s="1"/>
  <c r="J41" i="2"/>
  <c r="K41" i="2" s="1"/>
  <c r="B10" i="5"/>
  <c r="B9" i="5"/>
  <c r="B8" i="5"/>
  <c r="B7" i="5"/>
  <c r="B6" i="5"/>
  <c r="B5" i="5"/>
  <c r="B4" i="5"/>
  <c r="B3" i="5"/>
  <c r="B2" i="5"/>
  <c r="A2" i="4"/>
  <c r="J4" i="2"/>
  <c r="K4" i="2" s="1"/>
  <c r="K28" i="2" l="1"/>
  <c r="K14" i="2"/>
  <c r="J5" i="2"/>
  <c r="K5" i="2" s="1"/>
  <c r="B2" i="4"/>
  <c r="J2" i="2"/>
  <c r="K2" i="2" s="1"/>
  <c r="J3" i="2"/>
  <c r="K3" i="2" s="1"/>
  <c r="C2" i="4" l="1"/>
  <c r="C3" i="4" s="1"/>
  <c r="D2" i="4" l="1"/>
  <c r="B12" i="3" s="1"/>
  <c r="E2" i="4"/>
</calcChain>
</file>

<file path=xl/sharedStrings.xml><?xml version="1.0" encoding="utf-8"?>
<sst xmlns="http://schemas.openxmlformats.org/spreadsheetml/2006/main" count="304" uniqueCount="95">
  <si>
    <t>ETU00XXXX</t>
  </si>
  <si>
    <t>A</t>
  </si>
  <si>
    <t>ETU00YYYY</t>
  </si>
  <si>
    <t>B</t>
  </si>
  <si>
    <t>ETU00ZZZZ</t>
  </si>
  <si>
    <t>C</t>
  </si>
  <si>
    <t>ETU00WWWW</t>
  </si>
  <si>
    <t>Ligne</t>
  </si>
  <si>
    <t>Catégorie</t>
  </si>
  <si>
    <t>Module</t>
  </si>
  <si>
    <t>Page</t>
  </si>
  <si>
    <t>Description tâche</t>
  </si>
  <si>
    <t>Type</t>
  </si>
  <si>
    <t>Qui</t>
  </si>
  <si>
    <t>Estimation</t>
  </si>
  <si>
    <t>Temps passé</t>
  </si>
  <si>
    <t>Reste à faire</t>
  </si>
  <si>
    <t>Avancement</t>
  </si>
  <si>
    <t>Backoffice</t>
  </si>
  <si>
    <t>Gestion Login</t>
  </si>
  <si>
    <t>Affichage</t>
  </si>
  <si>
    <t>Metier</t>
  </si>
  <si>
    <t>checkLogin</t>
  </si>
  <si>
    <t>Integration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</si>
  <si>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</si>
  <si>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</si>
  <si>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</si>
  <si>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</si>
  <si>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</si>
  <si>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</si>
  <si>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</si>
  <si>
    <t/>
  </si>
  <si>
    <t>SUM of Estimation</t>
  </si>
  <si>
    <t>SUM of Temps passé</t>
  </si>
  <si>
    <t>SUM of Reste à faire</t>
  </si>
  <si>
    <t>(blank)</t>
  </si>
  <si>
    <t>Grand Total</t>
  </si>
  <si>
    <t>Creation interface</t>
  </si>
  <si>
    <t>ETU003295</t>
  </si>
  <si>
    <t>script de verification</t>
  </si>
  <si>
    <t>Protections Pages</t>
  </si>
  <si>
    <t>mode FO ou BO</t>
  </si>
  <si>
    <t>Layouts separe FO ouBO</t>
  </si>
  <si>
    <t>Gestion Donne</t>
  </si>
  <si>
    <t>fonctions de reinitialisation</t>
  </si>
  <si>
    <t>liaison entre tables de reinitialisation</t>
  </si>
  <si>
    <t>Gestion Import</t>
  </si>
  <si>
    <t>load csv</t>
  </si>
  <si>
    <t>fonctions d'insertions des images</t>
  </si>
  <si>
    <t>Gestion Commande</t>
  </si>
  <si>
    <t>Creation Interface</t>
  </si>
  <si>
    <t>OrderList</t>
  </si>
  <si>
    <t>Script d'integration</t>
  </si>
  <si>
    <t xml:space="preserve">OrderList </t>
  </si>
  <si>
    <t>Modification Etat , psUpdateOrderState</t>
  </si>
  <si>
    <t>FrontOffice</t>
  </si>
  <si>
    <t>metier</t>
  </si>
  <si>
    <t>fonctions de liste des products</t>
  </si>
  <si>
    <t>Accueil,gestion produits</t>
  </si>
  <si>
    <t>fonctions psGetProductFullDetails</t>
  </si>
  <si>
    <t>fonctions product_feature_values</t>
  </si>
  <si>
    <t>fonctions product_option_values</t>
  </si>
  <si>
    <t>fonctions combinations</t>
  </si>
  <si>
    <t>fonctions etat setLoggedAdmin</t>
  </si>
  <si>
    <t>gestion emit pour liasons</t>
  </si>
  <si>
    <t>reset.types.ts</t>
  </si>
  <si>
    <t>type de module de system de reinitialisation</t>
  </si>
  <si>
    <t>auth.vue</t>
  </si>
  <si>
    <t>auth-state.js</t>
  </si>
  <si>
    <t>prestashop-api.js</t>
  </si>
  <si>
    <t>App.vue</t>
  </si>
  <si>
    <t>DataResetManager.vue</t>
  </si>
  <si>
    <t>useDataReset.ts</t>
  </si>
  <si>
    <t>reset-modules.config.ts</t>
  </si>
  <si>
    <t>ProductImport.service.ts</t>
  </si>
  <si>
    <t>CombinationImport.service.ts</t>
  </si>
  <si>
    <t>OrderImport.service.ts</t>
  </si>
  <si>
    <t>Import.vue</t>
  </si>
  <si>
    <t>ProductDetail.vue</t>
  </si>
  <si>
    <t>Home.vue</t>
  </si>
  <si>
    <t>ResetReport.vue</t>
  </si>
  <si>
    <t>fonction calculatePrixHt</t>
  </si>
  <si>
    <t>fonction getTaxGroupId</t>
  </si>
  <si>
    <t>fonction</t>
  </si>
  <si>
    <t>fonction buildProductXml</t>
  </si>
  <si>
    <t>fonction runImport</t>
  </si>
  <si>
    <t>fonction getDynamicTaxRate</t>
  </si>
  <si>
    <t>fonction ensureAttrAndVal</t>
  </si>
  <si>
    <t>fonction setStock</t>
  </si>
  <si>
    <t>fonction runCombinationImport</t>
  </si>
  <si>
    <t>Gestion Panier</t>
  </si>
  <si>
    <t>Cart.vue</t>
  </si>
  <si>
    <t>fonction psGetCartSecureKey</t>
  </si>
  <si>
    <t>fonction psCreateOrder</t>
  </si>
  <si>
    <t>fonction cart , psCreateCart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</si>
</sst>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4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000000"/>
      <name val="Arial"/>
    </font>
    <font>
      <b/>
      <sz val="11"/>
      <color rgb="FF000000"/>
      <name val="Liberation Serif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Liberation Serif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ptos Narrow"/>
    </font>
    <font>
      <sz val="12"/>
      <color theme="1"/>
      <name val="Aptos Narrow"/>
    </font>
    <font>
      <b/>
      <sz val="12"/>
      <color theme="1"/>
      <name val="Arial"/>
    </font>
    <font>
      <sz val="12"/>
      <color theme="1"/>
      <name val="Arial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right"/>
    </xf>
    <xf numFmtId="10" fontId="5" fillId="0" borderId="1" xfId="0" applyNumberFormat="1" applyFont="1" applyBorder="1" applyAlignment="1">
      <alignment horizontal="right"/>
    </xf>
    <xf numFmtId="0" fontId="7" fillId="0" borderId="0" xfId="0" applyFont="1"/>
    <xf numFmtId="0" fontId="8" fillId="3" borderId="0" xfId="0" applyFont="1" applyFill="1"/>
    <xf numFmtId="10" fontId="8" fillId="3" borderId="0" xfId="0" applyNumberFormat="1" applyFont="1" applyFill="1"/>
    <xf numFmtId="0" fontId="9" fillId="4" borderId="2" xfId="0" applyFont="1" applyFill="1" applyBorder="1"/>
    <xf numFmtId="0" fontId="10" fillId="0" borderId="0" xfId="0" applyFont="1" applyAlignment="1">
      <alignment horizontal="right"/>
    </xf>
    <xf numFmtId="10" fontId="10" fillId="0" borderId="0" xfId="0" applyNumberFormat="1" applyFont="1" applyAlignment="1">
      <alignment horizontal="right"/>
    </xf>
    <xf numFmtId="9" fontId="10" fillId="0" borderId="0" xfId="0" applyNumberFormat="1" applyFont="1" applyAlignment="1">
      <alignment horizontal="right"/>
    </xf>
    <xf numFmtId="0" fontId="10" fillId="0" borderId="0" xfId="0" applyFont="1"/>
    <xf numFmtId="0" fontId="11" fillId="4" borderId="0" xfId="0" applyFont="1" applyFill="1"/>
    <xf numFmtId="0" fontId="11" fillId="0" borderId="0" xfId="0" applyFont="1"/>
    <xf numFmtId="164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/>
    <xf numFmtId="0" fontId="0" fillId="0" borderId="3" xfId="0" applyBorder="1"/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1" fillId="0" borderId="1" xfId="0" applyFont="1" applyBorder="1"/>
    <xf numFmtId="0" fontId="0" fillId="0" borderId="3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2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ohy" refreshedDate="46155.476353356484" refreshedVersion="8" recordCount="46" xr:uid="{00000000-000A-0000-FFFF-FFFF00000000}">
  <cacheSource type="worksheet">
    <worksheetSource ref="B1:K1003" sheet="liste des taches"/>
  </cacheSource>
  <cacheFields count="10">
    <cacheField name="Catégorie" numFmtId="0">
      <sharedItems containsBlank="1"/>
    </cacheField>
    <cacheField name="Module" numFmtId="0">
      <sharedItems containsBlank="1"/>
    </cacheField>
    <cacheField name="Page" numFmtId="0">
      <sharedItems containsBlank="1"/>
    </cacheField>
    <cacheField name="Description tâche" numFmtId="0">
      <sharedItems containsBlank="1"/>
    </cacheField>
    <cacheField name="Type" numFmtId="0">
      <sharedItems containsBlank="1"/>
    </cacheField>
    <cacheField name="Qui" numFmtId="0">
      <sharedItems containsBlank="1" count="9">
        <s v="ETU003295"/>
        <m/>
        <s v="ETU003296" u="1"/>
        <s v="ETU003297" u="1"/>
        <s v="ETU003298" u="1"/>
        <s v="ETU00YYYY" u="1"/>
        <s v="ETU00XXXX" u="1"/>
        <s v="ETU00ZZZZ" u="1"/>
        <s v="ETU00WWWW" u="1"/>
      </sharedItems>
    </cacheField>
    <cacheField name="Estimation" numFmtId="0">
      <sharedItems containsString="0" containsBlank="1" containsNumber="1" containsInteger="1" minValue="100" maxValue="100"/>
    </cacheField>
    <cacheField name="Temps passé" numFmtId="0">
      <sharedItems containsString="0" containsBlank="1" containsNumber="1" containsInteger="1" minValue="100" maxValue="100"/>
    </cacheField>
    <cacheField name="Reste à faire" numFmtId="0">
      <sharedItems containsString="0" containsBlank="1" containsNumber="1" containsInteger="1" minValue="0" maxValue="0"/>
    </cacheField>
    <cacheField name="Avancement" numFmtId="0">
      <sharedItems containsString="0" containsBlank="1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Backoffice"/>
    <s v="Gestion Login"/>
    <s v="auth.vue"/>
    <s v="Creation interface"/>
    <s v="Affichage"/>
    <x v="0"/>
    <n v="100"/>
    <n v="100"/>
    <n v="0"/>
    <n v="1"/>
  </r>
  <r>
    <s v="Backoffice"/>
    <s v="Gestion Login"/>
    <s v="auth-state.js"/>
    <s v="fonctions etat setLoggedAdmin"/>
    <s v="Metier"/>
    <x v="0"/>
    <n v="100"/>
    <n v="100"/>
    <n v="0"/>
    <n v="1"/>
  </r>
  <r>
    <s v="Backoffice"/>
    <s v="Gestion Login"/>
    <s v="prestashop-api.js"/>
    <s v="checkLogin"/>
    <s v="Metier"/>
    <x v="0"/>
    <n v="100"/>
    <n v="100"/>
    <n v="0"/>
    <n v="1"/>
  </r>
  <r>
    <s v="Backoffice"/>
    <s v="Gestion Login"/>
    <s v="auth.vue"/>
    <s v="script de verification"/>
    <s v="Integration"/>
    <x v="0"/>
    <n v="100"/>
    <n v="100"/>
    <n v="0"/>
    <n v="1"/>
  </r>
  <r>
    <s v="Backoffice"/>
    <s v="Protections Pages"/>
    <s v="App.vue"/>
    <s v="Layouts separe FO ouBO"/>
    <s v="Affichage"/>
    <x v="0"/>
    <n v="100"/>
    <n v="100"/>
    <n v="0"/>
    <n v="1"/>
  </r>
  <r>
    <s v="Backoffice"/>
    <s v="Protections Pages"/>
    <s v="App.vue"/>
    <s v="mode FO ou BO"/>
    <s v="Metier"/>
    <x v="0"/>
    <n v="100"/>
    <n v="100"/>
    <n v="0"/>
    <n v="1"/>
  </r>
  <r>
    <s v="Backoffice"/>
    <s v="Protections Pages"/>
    <s v="App.vue"/>
    <s v="gestion emit pour liasons"/>
    <s v="Integration"/>
    <x v="0"/>
    <n v="100"/>
    <n v="100"/>
    <n v="0"/>
    <n v="1"/>
  </r>
  <r>
    <s v="Backoffice"/>
    <s v="Gestion Donne"/>
    <s v="reset.types.ts"/>
    <s v="type de module de system de reinitialisation"/>
    <s v="Metier"/>
    <x v="0"/>
    <n v="100"/>
    <n v="100"/>
    <n v="0"/>
    <n v="1"/>
  </r>
  <r>
    <s v="Backoffice"/>
    <s v="Gestion Donne"/>
    <s v="ResetReport.vue"/>
    <s v="Creation interface"/>
    <s v="Affichage"/>
    <x v="0"/>
    <n v="100"/>
    <n v="100"/>
    <n v="0"/>
    <n v="1"/>
  </r>
  <r>
    <s v="Backoffice"/>
    <s v="Gestion Donne"/>
    <s v="DataResetManager.vue"/>
    <s v="Creation interface"/>
    <s v="Affichage"/>
    <x v="0"/>
    <n v="100"/>
    <n v="100"/>
    <n v="0"/>
    <n v="1"/>
  </r>
  <r>
    <s v="Backoffice"/>
    <s v="Gestion Donne"/>
    <s v="useDataReset.ts"/>
    <s v="fonctions de reinitialisation"/>
    <s v="Metier"/>
    <x v="0"/>
    <n v="100"/>
    <n v="100"/>
    <n v="0"/>
    <n v="1"/>
  </r>
  <r>
    <s v="Backoffice"/>
    <s v="Gestion Donne"/>
    <s v="reset-modules.config.ts"/>
    <s v="liaison entre tables de reinitialisation"/>
    <s v="Integration"/>
    <x v="0"/>
    <n v="100"/>
    <n v="100"/>
    <n v="0"/>
    <n v="1"/>
  </r>
  <r>
    <s v="Backoffice"/>
    <s v="Gestion Import"/>
    <s v="ProductImport.service.ts"/>
    <s v="fonction calculatePrixHt"/>
    <s v="Metier"/>
    <x v="0"/>
    <n v="100"/>
    <n v="100"/>
    <n v="0"/>
    <n v="1"/>
  </r>
  <r>
    <s v="Backoffice"/>
    <s v="Gestion Import"/>
    <s v="ProductImport.service.ts"/>
    <s v="fonction getTaxGroupId"/>
    <s v="Metier"/>
    <x v="0"/>
    <n v="100"/>
    <n v="100"/>
    <n v="0"/>
    <n v="1"/>
  </r>
  <r>
    <s v="Backoffice"/>
    <s v="Gestion Import"/>
    <s v="ProductImport.service.ts"/>
    <s v="fonction buildProductXml"/>
    <s v="Metier"/>
    <x v="0"/>
    <n v="100"/>
    <n v="100"/>
    <n v="0"/>
    <n v="1"/>
  </r>
  <r>
    <s v="Backoffice"/>
    <s v="Gestion Import"/>
    <s v="ProductImport.service.ts"/>
    <s v="fonction runImport"/>
    <s v="Metier"/>
    <x v="0"/>
    <n v="100"/>
    <n v="100"/>
    <n v="0"/>
    <n v="1"/>
  </r>
  <r>
    <s v="Backoffice"/>
    <s v="Gestion Import"/>
    <s v="CombinationImport.service.ts"/>
    <s v="fonction getDynamicTaxRate"/>
    <s v="Metier"/>
    <x v="0"/>
    <n v="100"/>
    <n v="100"/>
    <n v="0"/>
    <n v="1"/>
  </r>
  <r>
    <s v="Backoffice"/>
    <s v="Gestion Import"/>
    <s v="CombinationImport.service.ts"/>
    <s v="fonction ensureAttrAndVal"/>
    <s v="Metier"/>
    <x v="0"/>
    <n v="100"/>
    <n v="100"/>
    <n v="0"/>
    <n v="1"/>
  </r>
  <r>
    <s v="Backoffice"/>
    <s v="Gestion Import"/>
    <s v="CombinationImport.service.ts"/>
    <s v="fonction setStock"/>
    <s v="Metier"/>
    <x v="0"/>
    <n v="100"/>
    <n v="100"/>
    <n v="0"/>
    <n v="1"/>
  </r>
  <r>
    <s v="Backoffice"/>
    <s v="Gestion Import"/>
    <s v="CombinationImport.service.ts"/>
    <s v="fonction runCombinationImport"/>
    <s v="Metier"/>
    <x v="0"/>
    <n v="100"/>
    <n v="100"/>
    <n v="0"/>
    <n v="1"/>
  </r>
  <r>
    <s v="Backoffice"/>
    <s v="Gestion Import"/>
    <s v="OrderImport.service.ts"/>
    <s v="fonction"/>
    <s v="Metier"/>
    <x v="0"/>
    <n v="100"/>
    <n v="100"/>
    <n v="0"/>
    <n v="1"/>
  </r>
  <r>
    <s v="Backoffice"/>
    <s v="Gestion Import"/>
    <s v="OrderImport.service.ts"/>
    <s v="fonction"/>
    <s v="Metier"/>
    <x v="0"/>
    <n v="100"/>
    <n v="100"/>
    <n v="0"/>
    <n v="1"/>
  </r>
  <r>
    <s v="Backoffice"/>
    <s v="Gestion Import"/>
    <s v="OrderImport.service.ts"/>
    <s v="fonction"/>
    <s v="Metier"/>
    <x v="0"/>
    <n v="100"/>
    <n v="100"/>
    <n v="0"/>
    <n v="1"/>
  </r>
  <r>
    <s v="Backoffice"/>
    <s v="Gestion Import"/>
    <s v="OrderImport.service.ts"/>
    <s v="fonction"/>
    <s v="Metier"/>
    <x v="0"/>
    <n v="100"/>
    <n v="100"/>
    <n v="0"/>
    <n v="1"/>
  </r>
  <r>
    <s v="Backoffice"/>
    <s v="Gestion Import"/>
    <s v="Import.vue"/>
    <s v="Creation interface"/>
    <s v="Affichage"/>
    <x v="0"/>
    <n v="100"/>
    <n v="100"/>
    <n v="0"/>
    <n v="1"/>
  </r>
  <r>
    <s v="Backoffice"/>
    <s v="Gestion Import"/>
    <s v="Import.vue"/>
    <s v="load csv"/>
    <s v="Integration"/>
    <x v="0"/>
    <n v="100"/>
    <n v="100"/>
    <n v="0"/>
    <n v="1"/>
  </r>
  <r>
    <s v="Backoffice"/>
    <s v="Gestion Import"/>
    <s v="Import.vue"/>
    <s v="fonctions d'insertions des images"/>
    <s v="Metier"/>
    <x v="0"/>
    <n v="100"/>
    <n v="100"/>
    <n v="0"/>
    <n v="1"/>
  </r>
  <r>
    <s v="Backoffice"/>
    <s v="Gestion Commande"/>
    <s v="OrderList"/>
    <s v="Creation interface"/>
    <s v="Affichage"/>
    <x v="0"/>
    <n v="100"/>
    <n v="100"/>
    <n v="0"/>
    <n v="1"/>
  </r>
  <r>
    <s v="Backoffice"/>
    <s v="Gestion Commande"/>
    <s v="prestashop-api.js"/>
    <s v="Modification Etat , psUpdateOrderState"/>
    <s v="Metier"/>
    <x v="0"/>
    <n v="100"/>
    <n v="100"/>
    <n v="0"/>
    <n v="1"/>
  </r>
  <r>
    <s v="Backoffice"/>
    <s v="Gestion Commande"/>
    <s v="OrderList "/>
    <s v="Script d'integration"/>
    <s v="Integration"/>
    <x v="0"/>
    <n v="100"/>
    <n v="100"/>
    <n v="0"/>
    <n v="1"/>
  </r>
  <r>
    <s v="FrontOffice"/>
    <s v="Accueil,gestion produits"/>
    <s v="Home.vue"/>
    <s v="Creation interface"/>
    <s v="Affichage"/>
    <x v="0"/>
    <n v="100"/>
    <n v="100"/>
    <n v="0"/>
    <n v="1"/>
  </r>
  <r>
    <s v="FrontOffice"/>
    <s v="Accueil,gestion produits"/>
    <s v="prestashop-api.js"/>
    <s v="fonctions de liste des products"/>
    <s v="Metier"/>
    <x v="0"/>
    <n v="100"/>
    <n v="100"/>
    <n v="0"/>
    <n v="1"/>
  </r>
  <r>
    <s v="FrontOffice"/>
    <s v="Accueil,gestion produits"/>
    <s v="Home.vue"/>
    <s v="Script d'integration"/>
    <s v="Integration"/>
    <x v="0"/>
    <n v="100"/>
    <n v="100"/>
    <n v="0"/>
    <n v="1"/>
  </r>
  <r>
    <s v="FrontOffice"/>
    <s v="Accueil,gestion produits"/>
    <s v="ProductDetail.vue"/>
    <s v="Creation interface"/>
    <s v="Affichage"/>
    <x v="0"/>
    <n v="100"/>
    <n v="100"/>
    <n v="0"/>
    <n v="1"/>
  </r>
  <r>
    <s v="FrontOffice"/>
    <s v="Accueil,gestion produits"/>
    <s v="prestashop-api.js"/>
    <s v="fonctions product_feature_values"/>
    <s v="Metier"/>
    <x v="0"/>
    <n v="100"/>
    <n v="100"/>
    <n v="0"/>
    <n v="1"/>
  </r>
  <r>
    <s v="FrontOffice"/>
    <s v="Accueil,gestion produits"/>
    <s v="prestashop-api.js"/>
    <s v="fonctions product_option_values"/>
    <s v="Metier"/>
    <x v="0"/>
    <n v="100"/>
    <n v="100"/>
    <n v="0"/>
    <n v="1"/>
  </r>
  <r>
    <s v="FrontOffice"/>
    <s v="Accueil,gestion produits"/>
    <s v="prestashop-api.js"/>
    <s v="fonctions combinations"/>
    <s v="Metier"/>
    <x v="0"/>
    <n v="100"/>
    <n v="100"/>
    <n v="0"/>
    <n v="1"/>
  </r>
  <r>
    <s v="FrontOffice"/>
    <s v="Accueil,gestion produits"/>
    <s v="prestashop-api.js"/>
    <s v="fonctions psGetProductFullDetails"/>
    <s v="Metier"/>
    <x v="0"/>
    <n v="100"/>
    <n v="100"/>
    <n v="0"/>
    <n v="1"/>
  </r>
  <r>
    <s v="FrontOffice"/>
    <s v="Accueil,gestion produits"/>
    <s v="ProductDetail.vue"/>
    <s v="Script d'integration"/>
    <s v="Integration"/>
    <x v="0"/>
    <n v="100"/>
    <n v="100"/>
    <n v="0"/>
    <n v="1"/>
  </r>
  <r>
    <s v="FrontOffice"/>
    <s v="Gestion Panier"/>
    <s v="Cart.vue"/>
    <s v="Creation interface"/>
    <s v="Affichage"/>
    <x v="0"/>
    <n v="100"/>
    <n v="100"/>
    <n v="0"/>
    <n v="1"/>
  </r>
  <r>
    <s v="FrontOffice"/>
    <s v="Gestion Panier"/>
    <s v="prestashop-api.js"/>
    <s v="fonction psGetCartSecureKey"/>
    <s v="Metier"/>
    <x v="0"/>
    <n v="100"/>
    <n v="100"/>
    <n v="0"/>
    <n v="1"/>
  </r>
  <r>
    <s v="FrontOffice"/>
    <s v="Gestion Panier"/>
    <s v="prestashop-api.js"/>
    <s v="fonction cart , psCreateCart"/>
    <s v="Metier"/>
    <x v="0"/>
    <n v="100"/>
    <n v="100"/>
    <n v="0"/>
    <n v="1"/>
  </r>
  <r>
    <s v="FrontOffice"/>
    <s v="Gestion Panier"/>
    <s v="prestashop-api.js"/>
    <s v="fonction psCreateOrder"/>
    <s v="Metier"/>
    <x v="0"/>
    <n v="100"/>
    <n v="100"/>
    <n v="0"/>
    <n v="1"/>
  </r>
  <r>
    <s v="FrontOffice"/>
    <s v="Gestion Panier"/>
    <s v="Cart.vue"/>
    <s v="Script d'integration"/>
    <s v="Integration"/>
    <x v="0"/>
    <n v="100"/>
    <n v="100"/>
    <n v="0"/>
    <n v="1"/>
  </r>
  <r>
    <s v="FrontOffice"/>
    <s v="Gestion Panier"/>
    <s v="Cart.vue"/>
    <m/>
    <m/>
    <x v="0"/>
    <n v="100"/>
    <n v="100"/>
    <n v="0"/>
    <n v="1"/>
  </r>
  <r>
    <m/>
    <m/>
    <m/>
    <m/>
    <m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cap" cacheId="4" applyNumberFormats="0" applyBorderFormats="0" applyFontFormats="0" applyPatternFormats="0" applyAlignmentFormats="0" applyWidthHeightFormats="0" dataCaption="" updatedVersion="8" compact="0" compactData="0">
  <location ref="A1:D5" firstHeaderRow="1" firstDataRow="2" firstDataCol="1"/>
  <pivotFields count="10">
    <pivotField name="Catégorie" compact="0" outline="0" multipleItemSelectionAllowed="1" showAll="0"/>
    <pivotField name="Module" compact="0" outline="0" multipleItemSelectionAllowed="1" showAll="0"/>
    <pivotField name="Page" compact="0" outline="0" multipleItemSelectionAllowed="1" showAll="0"/>
    <pivotField name="Description tâche" compact="0" outline="0" multipleItemSelectionAllowed="1" showAll="0"/>
    <pivotField name="Type" compact="0" outline="0" multipleItemSelectionAllowed="1" showAll="0"/>
    <pivotField name="Qui" axis="axisRow" compact="0" outline="0" multipleItemSelectionAllowed="1" showAll="0" sortType="ascending">
      <items count="10">
        <item x="0"/>
        <item m="1" x="2"/>
        <item m="1" x="3"/>
        <item m="1" x="4"/>
        <item m="1" x="8"/>
        <item m="1" x="6"/>
        <item m="1" x="5"/>
        <item m="1" x="7"/>
        <item x="1"/>
        <item t="default"/>
      </items>
    </pivotField>
    <pivotField name="Estimation" dataField="1" compact="0" outline="0" multipleItemSelectionAllowed="1" showAll="0"/>
    <pivotField name="Temps passé" dataField="1" compact="0" outline="0" multipleItemSelectionAllowed="1" showAll="0"/>
    <pivotField name="Reste à faire" dataField="1" compact="0" outline="0" multipleItemSelectionAllowed="1" showAll="0"/>
    <pivotField name="Avancement" compact="0" numFmtId="10" outline="0" multipleItemSelectionAllowed="1" showAll="0"/>
  </pivotFields>
  <rowFields count="1">
    <field x="5"/>
  </rowFields>
  <rowItems count="3">
    <i>
      <x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ion" fld="6" baseField="0"/>
    <dataField name="SUM of Temps passé" fld="7" baseField="0"/>
    <dataField name="SUM of Reste à faire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workbookViewId="0"/>
  </sheetViews>
  <sheetFormatPr defaultColWidth="12.5703125" defaultRowHeight="15.75" customHeight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46"/>
  <sheetViews>
    <sheetView tabSelected="1" zoomScale="115" zoomScaleNormal="115" workbookViewId="0">
      <selection activeCell="D10" sqref="D10"/>
    </sheetView>
  </sheetViews>
  <sheetFormatPr defaultColWidth="12.5703125" defaultRowHeight="15.75" customHeight="1"/>
  <cols>
    <col min="1" max="1" width="5.85546875" customWidth="1"/>
    <col min="2" max="2" width="19" customWidth="1"/>
    <col min="3" max="3" width="23.85546875" customWidth="1"/>
    <col min="4" max="4" width="21.5703125" customWidth="1"/>
    <col min="5" max="5" width="34.7109375" customWidth="1"/>
  </cols>
  <sheetData>
    <row r="1" spans="1:11" ht="15.75" customHeight="1">
      <c r="A1" s="2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</row>
    <row r="2" spans="1:11" ht="12.75">
      <c r="A2" s="5">
        <v>1</v>
      </c>
      <c r="B2" s="5" t="s">
        <v>18</v>
      </c>
      <c r="C2" s="6" t="s">
        <v>19</v>
      </c>
      <c r="D2" s="31" t="s">
        <v>67</v>
      </c>
      <c r="E2" s="7" t="s">
        <v>37</v>
      </c>
      <c r="F2" s="7" t="s">
        <v>20</v>
      </c>
      <c r="G2" s="31" t="s">
        <v>38</v>
      </c>
      <c r="H2" s="6">
        <v>100</v>
      </c>
      <c r="I2" s="8">
        <v>100</v>
      </c>
      <c r="J2" s="8">
        <f t="shared" ref="J2:J4" si="0">H2-I2</f>
        <v>0</v>
      </c>
      <c r="K2" s="9">
        <f>(I2/(I2+J2))</f>
        <v>1</v>
      </c>
    </row>
    <row r="3" spans="1:11" ht="12.75">
      <c r="A3" s="5">
        <v>2</v>
      </c>
      <c r="B3" s="5" t="s">
        <v>18</v>
      </c>
      <c r="C3" s="7" t="s">
        <v>19</v>
      </c>
      <c r="D3" s="31" t="s">
        <v>68</v>
      </c>
      <c r="E3" s="7" t="s">
        <v>63</v>
      </c>
      <c r="F3" s="7" t="s">
        <v>21</v>
      </c>
      <c r="G3" s="31" t="s">
        <v>38</v>
      </c>
      <c r="H3" s="6">
        <v>100</v>
      </c>
      <c r="I3" s="8">
        <v>100</v>
      </c>
      <c r="J3" s="8">
        <f t="shared" si="0"/>
        <v>0</v>
      </c>
      <c r="K3" s="9">
        <f t="shared" ref="K3:K4" si="1">(I3/(I3+J3))</f>
        <v>1</v>
      </c>
    </row>
    <row r="4" spans="1:11" ht="12.75">
      <c r="A4" s="5">
        <v>3</v>
      </c>
      <c r="B4" s="5" t="s">
        <v>18</v>
      </c>
      <c r="C4" s="7" t="s">
        <v>19</v>
      </c>
      <c r="D4" s="31" t="s">
        <v>69</v>
      </c>
      <c r="E4" s="7" t="s">
        <v>22</v>
      </c>
      <c r="F4" s="7" t="s">
        <v>21</v>
      </c>
      <c r="G4" s="31" t="s">
        <v>38</v>
      </c>
      <c r="H4" s="6">
        <v>100</v>
      </c>
      <c r="I4" s="8">
        <v>100</v>
      </c>
      <c r="J4" s="8">
        <f t="shared" si="0"/>
        <v>0</v>
      </c>
      <c r="K4" s="9">
        <f t="shared" si="1"/>
        <v>1</v>
      </c>
    </row>
    <row r="5" spans="1:11" ht="12.75">
      <c r="A5" s="5">
        <v>4</v>
      </c>
      <c r="B5" s="5" t="s">
        <v>18</v>
      </c>
      <c r="C5" s="7" t="s">
        <v>19</v>
      </c>
      <c r="D5" s="31" t="s">
        <v>67</v>
      </c>
      <c r="E5" s="7" t="s">
        <v>39</v>
      </c>
      <c r="F5" s="7" t="s">
        <v>23</v>
      </c>
      <c r="G5" s="31" t="s">
        <v>38</v>
      </c>
      <c r="H5" s="6">
        <v>100</v>
      </c>
      <c r="I5" s="8">
        <v>100</v>
      </c>
      <c r="J5" s="8">
        <f>H5-I5</f>
        <v>0</v>
      </c>
      <c r="K5" s="9">
        <f>(I5/(I5+J5))</f>
        <v>1</v>
      </c>
    </row>
    <row r="6" spans="1:11" ht="12.75">
      <c r="A6" s="5">
        <v>5</v>
      </c>
      <c r="B6" s="5" t="s">
        <v>18</v>
      </c>
      <c r="C6" s="7" t="s">
        <v>40</v>
      </c>
      <c r="D6" s="31" t="s">
        <v>70</v>
      </c>
      <c r="E6" s="7" t="s">
        <v>42</v>
      </c>
      <c r="F6" s="7" t="s">
        <v>20</v>
      </c>
      <c r="G6" s="31" t="s">
        <v>38</v>
      </c>
      <c r="H6" s="6">
        <v>100</v>
      </c>
      <c r="I6" s="8">
        <v>100</v>
      </c>
      <c r="J6" s="8">
        <f t="shared" ref="J6:J41" si="2">H6-I6</f>
        <v>0</v>
      </c>
      <c r="K6" s="9">
        <f t="shared" ref="K6:K41" si="3">(I6/(I6+J6))</f>
        <v>1</v>
      </c>
    </row>
    <row r="7" spans="1:11" ht="12.75">
      <c r="A7" s="5">
        <v>6</v>
      </c>
      <c r="B7" s="5" t="s">
        <v>18</v>
      </c>
      <c r="C7" s="7" t="s">
        <v>40</v>
      </c>
      <c r="D7" s="31" t="s">
        <v>70</v>
      </c>
      <c r="E7" s="7" t="s">
        <v>41</v>
      </c>
      <c r="F7" s="7" t="s">
        <v>21</v>
      </c>
      <c r="G7" s="31" t="s">
        <v>38</v>
      </c>
      <c r="H7" s="6">
        <v>100</v>
      </c>
      <c r="I7" s="8">
        <v>100</v>
      </c>
      <c r="J7" s="8">
        <f t="shared" si="2"/>
        <v>0</v>
      </c>
      <c r="K7" s="9">
        <f t="shared" si="3"/>
        <v>1</v>
      </c>
    </row>
    <row r="8" spans="1:11" ht="12.75">
      <c r="A8" s="5">
        <v>7</v>
      </c>
      <c r="B8" s="5" t="s">
        <v>18</v>
      </c>
      <c r="C8" s="7" t="s">
        <v>40</v>
      </c>
      <c r="D8" s="31" t="s">
        <v>70</v>
      </c>
      <c r="E8" s="7" t="s">
        <v>64</v>
      </c>
      <c r="F8" s="7" t="s">
        <v>23</v>
      </c>
      <c r="G8" s="31" t="s">
        <v>38</v>
      </c>
      <c r="H8" s="6">
        <v>100</v>
      </c>
      <c r="I8" s="8">
        <v>100</v>
      </c>
      <c r="J8" s="8">
        <f t="shared" ref="J8:J10" si="4">H8-I8</f>
        <v>0</v>
      </c>
      <c r="K8" s="9">
        <f t="shared" ref="K8:K10" si="5">(I8/(I8+J8))</f>
        <v>1</v>
      </c>
    </row>
    <row r="9" spans="1:11" ht="12.75">
      <c r="A9" s="5">
        <v>8</v>
      </c>
      <c r="B9" s="5" t="s">
        <v>18</v>
      </c>
      <c r="C9" s="7" t="s">
        <v>43</v>
      </c>
      <c r="D9" s="31" t="s">
        <v>65</v>
      </c>
      <c r="E9" s="7" t="s">
        <v>66</v>
      </c>
      <c r="F9" s="7" t="s">
        <v>21</v>
      </c>
      <c r="G9" s="31" t="s">
        <v>38</v>
      </c>
      <c r="H9" s="6">
        <v>100</v>
      </c>
      <c r="I9" s="8">
        <v>100</v>
      </c>
      <c r="J9" s="8">
        <f t="shared" si="4"/>
        <v>0</v>
      </c>
      <c r="K9" s="9">
        <f t="shared" si="5"/>
        <v>1</v>
      </c>
    </row>
    <row r="10" spans="1:11" ht="12.75">
      <c r="A10" s="5">
        <v>9</v>
      </c>
      <c r="B10" s="5" t="s">
        <v>18</v>
      </c>
      <c r="C10" s="7" t="s">
        <v>43</v>
      </c>
      <c r="D10" s="31" t="s">
        <v>80</v>
      </c>
      <c r="E10" s="7" t="s">
        <v>37</v>
      </c>
      <c r="F10" s="7" t="s">
        <v>20</v>
      </c>
      <c r="G10" s="31" t="s">
        <v>38</v>
      </c>
      <c r="H10" s="6">
        <v>100</v>
      </c>
      <c r="I10" s="8">
        <v>100</v>
      </c>
      <c r="J10" s="8">
        <f t="shared" si="4"/>
        <v>0</v>
      </c>
      <c r="K10" s="9">
        <f t="shared" si="5"/>
        <v>1</v>
      </c>
    </row>
    <row r="11" spans="1:11" ht="12.75">
      <c r="A11" s="5">
        <v>10</v>
      </c>
      <c r="B11" s="5" t="s">
        <v>18</v>
      </c>
      <c r="C11" s="7" t="s">
        <v>43</v>
      </c>
      <c r="D11" s="31" t="s">
        <v>71</v>
      </c>
      <c r="E11" s="7" t="s">
        <v>37</v>
      </c>
      <c r="F11" s="7" t="s">
        <v>20</v>
      </c>
      <c r="G11" s="31" t="s">
        <v>38</v>
      </c>
      <c r="H11" s="6">
        <v>100</v>
      </c>
      <c r="I11" s="8">
        <v>100</v>
      </c>
      <c r="J11" s="8">
        <f t="shared" si="2"/>
        <v>0</v>
      </c>
      <c r="K11" s="9">
        <f t="shared" si="3"/>
        <v>1</v>
      </c>
    </row>
    <row r="12" spans="1:11" ht="12.75">
      <c r="A12" s="5">
        <v>11</v>
      </c>
      <c r="B12" s="5" t="s">
        <v>18</v>
      </c>
      <c r="C12" s="7" t="s">
        <v>43</v>
      </c>
      <c r="D12" s="31" t="s">
        <v>72</v>
      </c>
      <c r="E12" s="7" t="s">
        <v>44</v>
      </c>
      <c r="F12" s="7" t="s">
        <v>21</v>
      </c>
      <c r="G12" s="31" t="s">
        <v>38</v>
      </c>
      <c r="H12" s="6">
        <v>100</v>
      </c>
      <c r="I12" s="8">
        <v>100</v>
      </c>
      <c r="J12" s="8">
        <f t="shared" si="2"/>
        <v>0</v>
      </c>
      <c r="K12" s="9">
        <f t="shared" si="3"/>
        <v>1</v>
      </c>
    </row>
    <row r="13" spans="1:11" ht="12.75">
      <c r="A13" s="5">
        <v>12</v>
      </c>
      <c r="B13" s="5" t="s">
        <v>18</v>
      </c>
      <c r="C13" s="7" t="s">
        <v>43</v>
      </c>
      <c r="D13" s="31" t="s">
        <v>73</v>
      </c>
      <c r="E13" s="7" t="s">
        <v>45</v>
      </c>
      <c r="F13" s="7" t="s">
        <v>23</v>
      </c>
      <c r="G13" s="31" t="s">
        <v>38</v>
      </c>
      <c r="H13" s="6">
        <v>100</v>
      </c>
      <c r="I13" s="8">
        <v>100</v>
      </c>
      <c r="J13" s="8">
        <f t="shared" si="2"/>
        <v>0</v>
      </c>
      <c r="K13" s="9">
        <f t="shared" si="3"/>
        <v>1</v>
      </c>
    </row>
    <row r="14" spans="1:11" ht="12.75">
      <c r="A14" s="5">
        <v>13</v>
      </c>
      <c r="B14" s="5" t="s">
        <v>18</v>
      </c>
      <c r="C14" s="7" t="s">
        <v>46</v>
      </c>
      <c r="D14" s="31" t="s">
        <v>74</v>
      </c>
      <c r="E14" s="7" t="s">
        <v>81</v>
      </c>
      <c r="F14" s="7" t="s">
        <v>21</v>
      </c>
      <c r="G14" s="31" t="s">
        <v>38</v>
      </c>
      <c r="H14" s="6">
        <v>100</v>
      </c>
      <c r="I14" s="8">
        <v>100</v>
      </c>
      <c r="J14" s="8">
        <f t="shared" si="2"/>
        <v>0</v>
      </c>
      <c r="K14" s="9">
        <f t="shared" si="3"/>
        <v>1</v>
      </c>
    </row>
    <row r="15" spans="1:11" ht="12.75">
      <c r="A15" s="5">
        <v>14</v>
      </c>
      <c r="B15" s="5" t="s">
        <v>18</v>
      </c>
      <c r="C15" s="7" t="s">
        <v>46</v>
      </c>
      <c r="D15" s="31" t="s">
        <v>74</v>
      </c>
      <c r="E15" s="7" t="s">
        <v>82</v>
      </c>
      <c r="F15" s="7" t="s">
        <v>21</v>
      </c>
      <c r="G15" s="31" t="s">
        <v>38</v>
      </c>
      <c r="H15" s="6">
        <v>100</v>
      </c>
      <c r="I15" s="8">
        <v>100</v>
      </c>
      <c r="J15" s="8">
        <f t="shared" ref="J15:J16" si="6">H15-I15</f>
        <v>0</v>
      </c>
      <c r="K15" s="9">
        <f t="shared" ref="K15:K16" si="7">(I15/(I15+J15))</f>
        <v>1</v>
      </c>
    </row>
    <row r="16" spans="1:11" ht="12.75">
      <c r="A16" s="5">
        <v>15</v>
      </c>
      <c r="B16" s="5" t="s">
        <v>18</v>
      </c>
      <c r="C16" s="7" t="s">
        <v>46</v>
      </c>
      <c r="D16" s="31" t="s">
        <v>74</v>
      </c>
      <c r="E16" s="7" t="s">
        <v>84</v>
      </c>
      <c r="F16" s="7" t="s">
        <v>21</v>
      </c>
      <c r="G16" s="31" t="s">
        <v>38</v>
      </c>
      <c r="H16" s="6">
        <v>100</v>
      </c>
      <c r="I16" s="8">
        <v>100</v>
      </c>
      <c r="J16" s="8">
        <f t="shared" si="6"/>
        <v>0</v>
      </c>
      <c r="K16" s="9">
        <f t="shared" si="7"/>
        <v>1</v>
      </c>
    </row>
    <row r="17" spans="1:11" ht="12.75">
      <c r="A17" s="5">
        <v>16</v>
      </c>
      <c r="B17" s="5" t="s">
        <v>18</v>
      </c>
      <c r="C17" s="7" t="s">
        <v>46</v>
      </c>
      <c r="D17" s="31" t="s">
        <v>74</v>
      </c>
      <c r="E17" s="7" t="s">
        <v>85</v>
      </c>
      <c r="F17" s="7" t="s">
        <v>21</v>
      </c>
      <c r="G17" s="31" t="s">
        <v>38</v>
      </c>
      <c r="H17" s="6">
        <v>100</v>
      </c>
      <c r="I17" s="8">
        <v>100</v>
      </c>
      <c r="J17" s="8">
        <f t="shared" ref="J17:J18" si="8">H17-I17</f>
        <v>0</v>
      </c>
      <c r="K17" s="9">
        <f t="shared" ref="K17" si="9">(I17/(I17+J17))</f>
        <v>1</v>
      </c>
    </row>
    <row r="18" spans="1:11" ht="12.75">
      <c r="A18" s="5">
        <v>17</v>
      </c>
      <c r="B18" s="5" t="s">
        <v>18</v>
      </c>
      <c r="C18" s="7" t="s">
        <v>46</v>
      </c>
      <c r="D18" s="31" t="s">
        <v>75</v>
      </c>
      <c r="E18" s="7" t="s">
        <v>86</v>
      </c>
      <c r="F18" s="7" t="s">
        <v>21</v>
      </c>
      <c r="G18" s="31" t="s">
        <v>38</v>
      </c>
      <c r="H18" s="6">
        <v>100</v>
      </c>
      <c r="I18" s="8">
        <v>100</v>
      </c>
      <c r="J18" s="8">
        <f t="shared" si="8"/>
        <v>0</v>
      </c>
      <c r="K18" s="9">
        <f>(I18/(I18+J18))</f>
        <v>1</v>
      </c>
    </row>
    <row r="19" spans="1:11" ht="12.75">
      <c r="A19" s="5">
        <v>18</v>
      </c>
      <c r="B19" s="5" t="s">
        <v>18</v>
      </c>
      <c r="C19" s="7" t="s">
        <v>46</v>
      </c>
      <c r="D19" s="31" t="s">
        <v>75</v>
      </c>
      <c r="E19" s="7" t="s">
        <v>87</v>
      </c>
      <c r="F19" s="7" t="s">
        <v>21</v>
      </c>
      <c r="G19" s="31" t="s">
        <v>38</v>
      </c>
      <c r="H19" s="6">
        <v>100</v>
      </c>
      <c r="I19" s="8">
        <v>100</v>
      </c>
      <c r="J19" s="8">
        <f t="shared" ref="J19:J21" si="10">H19-I19</f>
        <v>0</v>
      </c>
      <c r="K19" s="9">
        <f t="shared" ref="K19:K21" si="11">(I19/(I19+J19))</f>
        <v>1</v>
      </c>
    </row>
    <row r="20" spans="1:11" ht="12.75">
      <c r="A20" s="5">
        <v>19</v>
      </c>
      <c r="B20" s="5" t="s">
        <v>18</v>
      </c>
      <c r="C20" s="7" t="s">
        <v>46</v>
      </c>
      <c r="D20" s="31" t="s">
        <v>75</v>
      </c>
      <c r="E20" s="7" t="s">
        <v>88</v>
      </c>
      <c r="F20" s="7" t="s">
        <v>21</v>
      </c>
      <c r="G20" s="31" t="s">
        <v>38</v>
      </c>
      <c r="H20" s="6">
        <v>100</v>
      </c>
      <c r="I20" s="8">
        <v>100</v>
      </c>
      <c r="J20" s="8">
        <f t="shared" si="10"/>
        <v>0</v>
      </c>
      <c r="K20" s="9">
        <f t="shared" si="11"/>
        <v>1</v>
      </c>
    </row>
    <row r="21" spans="1:11" ht="12.75">
      <c r="A21" s="5">
        <v>20</v>
      </c>
      <c r="B21" s="5" t="s">
        <v>18</v>
      </c>
      <c r="C21" s="7" t="s">
        <v>46</v>
      </c>
      <c r="D21" s="31" t="s">
        <v>75</v>
      </c>
      <c r="E21" s="7" t="s">
        <v>89</v>
      </c>
      <c r="F21" s="7" t="s">
        <v>21</v>
      </c>
      <c r="G21" s="31" t="s">
        <v>38</v>
      </c>
      <c r="H21" s="6">
        <v>100</v>
      </c>
      <c r="I21" s="8">
        <v>100</v>
      </c>
      <c r="J21" s="8">
        <f t="shared" si="10"/>
        <v>0</v>
      </c>
      <c r="K21" s="9">
        <f t="shared" si="11"/>
        <v>1</v>
      </c>
    </row>
    <row r="22" spans="1:11" ht="12.75">
      <c r="A22" s="5">
        <v>21</v>
      </c>
      <c r="B22" s="5" t="s">
        <v>18</v>
      </c>
      <c r="C22" s="7" t="s">
        <v>46</v>
      </c>
      <c r="D22" s="31" t="s">
        <v>76</v>
      </c>
      <c r="E22" s="7" t="s">
        <v>83</v>
      </c>
      <c r="F22" s="7" t="s">
        <v>21</v>
      </c>
      <c r="G22" s="31" t="s">
        <v>38</v>
      </c>
      <c r="H22" s="6">
        <v>100</v>
      </c>
      <c r="I22" s="8">
        <v>100</v>
      </c>
      <c r="J22" s="8">
        <f t="shared" ref="J22" si="12">H22-I22</f>
        <v>0</v>
      </c>
      <c r="K22" s="9">
        <f>(I22/(I22+J22))</f>
        <v>1</v>
      </c>
    </row>
    <row r="23" spans="1:11" ht="12.75">
      <c r="A23" s="5">
        <v>22</v>
      </c>
      <c r="B23" s="5" t="s">
        <v>18</v>
      </c>
      <c r="C23" s="7" t="s">
        <v>46</v>
      </c>
      <c r="D23" s="31" t="s">
        <v>76</v>
      </c>
      <c r="E23" s="7" t="s">
        <v>83</v>
      </c>
      <c r="F23" s="7" t="s">
        <v>21</v>
      </c>
      <c r="G23" s="31" t="s">
        <v>38</v>
      </c>
      <c r="H23" s="6">
        <v>100</v>
      </c>
      <c r="I23" s="8">
        <v>100</v>
      </c>
      <c r="J23" s="8">
        <f t="shared" ref="J23:J25" si="13">H23-I23</f>
        <v>0</v>
      </c>
      <c r="K23" s="9">
        <f t="shared" ref="K23:K25" si="14">(I23/(I23+J23))</f>
        <v>1</v>
      </c>
    </row>
    <row r="24" spans="1:11" ht="12.75">
      <c r="A24" s="5">
        <v>23</v>
      </c>
      <c r="B24" s="5" t="s">
        <v>18</v>
      </c>
      <c r="C24" s="7" t="s">
        <v>46</v>
      </c>
      <c r="D24" s="31" t="s">
        <v>76</v>
      </c>
      <c r="E24" s="7" t="s">
        <v>83</v>
      </c>
      <c r="F24" s="7" t="s">
        <v>21</v>
      </c>
      <c r="G24" s="31" t="s">
        <v>38</v>
      </c>
      <c r="H24" s="6">
        <v>100</v>
      </c>
      <c r="I24" s="8">
        <v>100</v>
      </c>
      <c r="J24" s="8">
        <f t="shared" si="13"/>
        <v>0</v>
      </c>
      <c r="K24" s="9">
        <f t="shared" si="14"/>
        <v>1</v>
      </c>
    </row>
    <row r="25" spans="1:11" ht="12.75">
      <c r="A25" s="5">
        <v>24</v>
      </c>
      <c r="B25" s="5" t="s">
        <v>18</v>
      </c>
      <c r="C25" s="7" t="s">
        <v>46</v>
      </c>
      <c r="D25" s="31" t="s">
        <v>76</v>
      </c>
      <c r="E25" s="7" t="s">
        <v>83</v>
      </c>
      <c r="F25" s="7" t="s">
        <v>21</v>
      </c>
      <c r="G25" s="31" t="s">
        <v>38</v>
      </c>
      <c r="H25" s="6">
        <v>100</v>
      </c>
      <c r="I25" s="8">
        <v>100</v>
      </c>
      <c r="J25" s="8">
        <f t="shared" si="13"/>
        <v>0</v>
      </c>
      <c r="K25" s="9">
        <f t="shared" si="14"/>
        <v>1</v>
      </c>
    </row>
    <row r="26" spans="1:11" ht="12.75">
      <c r="A26" s="5">
        <v>25</v>
      </c>
      <c r="B26" s="5" t="s">
        <v>18</v>
      </c>
      <c r="C26" s="7" t="s">
        <v>46</v>
      </c>
      <c r="D26" s="31" t="s">
        <v>77</v>
      </c>
      <c r="E26" s="7" t="s">
        <v>37</v>
      </c>
      <c r="F26" s="7" t="s">
        <v>20</v>
      </c>
      <c r="G26" s="31" t="s">
        <v>38</v>
      </c>
      <c r="H26" s="6">
        <v>100</v>
      </c>
      <c r="I26" s="8">
        <v>100</v>
      </c>
      <c r="J26" s="8">
        <f t="shared" si="2"/>
        <v>0</v>
      </c>
      <c r="K26" s="9">
        <f t="shared" si="3"/>
        <v>1</v>
      </c>
    </row>
    <row r="27" spans="1:11" ht="12.75">
      <c r="A27" s="5">
        <v>26</v>
      </c>
      <c r="B27" s="5" t="s">
        <v>18</v>
      </c>
      <c r="C27" s="7" t="s">
        <v>46</v>
      </c>
      <c r="D27" s="31" t="s">
        <v>77</v>
      </c>
      <c r="E27" s="7" t="s">
        <v>47</v>
      </c>
      <c r="F27" s="7" t="s">
        <v>23</v>
      </c>
      <c r="G27" s="31" t="s">
        <v>38</v>
      </c>
      <c r="H27" s="6">
        <v>100</v>
      </c>
      <c r="I27" s="8">
        <v>100</v>
      </c>
      <c r="J27" s="8">
        <f t="shared" si="2"/>
        <v>0</v>
      </c>
      <c r="K27" s="9">
        <f t="shared" si="3"/>
        <v>1</v>
      </c>
    </row>
    <row r="28" spans="1:11" ht="12.75">
      <c r="A28" s="5">
        <v>27</v>
      </c>
      <c r="B28" s="5" t="s">
        <v>18</v>
      </c>
      <c r="C28" s="7" t="s">
        <v>46</v>
      </c>
      <c r="D28" s="31" t="s">
        <v>77</v>
      </c>
      <c r="E28" s="7" t="s">
        <v>48</v>
      </c>
      <c r="F28" s="7" t="s">
        <v>21</v>
      </c>
      <c r="G28" s="31" t="s">
        <v>38</v>
      </c>
      <c r="H28" s="6">
        <v>100</v>
      </c>
      <c r="I28" s="8">
        <v>100</v>
      </c>
      <c r="J28" s="8">
        <f t="shared" si="2"/>
        <v>0</v>
      </c>
      <c r="K28" s="9">
        <f t="shared" si="3"/>
        <v>1</v>
      </c>
    </row>
    <row r="29" spans="1:11" ht="12.75">
      <c r="A29" s="5">
        <v>28</v>
      </c>
      <c r="B29" s="5" t="s">
        <v>18</v>
      </c>
      <c r="C29" s="7" t="s">
        <v>49</v>
      </c>
      <c r="D29" s="31" t="s">
        <v>51</v>
      </c>
      <c r="E29" s="7" t="s">
        <v>50</v>
      </c>
      <c r="F29" s="7" t="s">
        <v>20</v>
      </c>
      <c r="G29" s="31" t="s">
        <v>38</v>
      </c>
      <c r="H29" s="6">
        <v>100</v>
      </c>
      <c r="I29" s="8">
        <v>100</v>
      </c>
      <c r="J29" s="8">
        <f t="shared" si="2"/>
        <v>0</v>
      </c>
      <c r="K29" s="9">
        <f t="shared" si="3"/>
        <v>1</v>
      </c>
    </row>
    <row r="30" spans="1:11" ht="12.75">
      <c r="A30" s="5">
        <v>29</v>
      </c>
      <c r="B30" s="5" t="s">
        <v>18</v>
      </c>
      <c r="C30" s="7" t="s">
        <v>49</v>
      </c>
      <c r="D30" s="31" t="s">
        <v>69</v>
      </c>
      <c r="E30" s="7" t="s">
        <v>54</v>
      </c>
      <c r="F30" s="7" t="s">
        <v>21</v>
      </c>
      <c r="G30" s="31" t="s">
        <v>38</v>
      </c>
      <c r="H30" s="6">
        <v>100</v>
      </c>
      <c r="I30" s="8">
        <v>100</v>
      </c>
      <c r="J30" s="8">
        <f t="shared" si="2"/>
        <v>0</v>
      </c>
      <c r="K30" s="9">
        <f t="shared" si="3"/>
        <v>1</v>
      </c>
    </row>
    <row r="31" spans="1:11" ht="12.75">
      <c r="A31" s="5">
        <v>30</v>
      </c>
      <c r="B31" s="5" t="s">
        <v>18</v>
      </c>
      <c r="C31" s="7" t="s">
        <v>49</v>
      </c>
      <c r="D31" s="31" t="s">
        <v>53</v>
      </c>
      <c r="E31" s="7" t="s">
        <v>52</v>
      </c>
      <c r="F31" s="7" t="s">
        <v>23</v>
      </c>
      <c r="G31" s="31" t="s">
        <v>38</v>
      </c>
      <c r="H31" s="6">
        <v>100</v>
      </c>
      <c r="I31" s="8">
        <v>100</v>
      </c>
      <c r="J31" s="8">
        <f t="shared" si="2"/>
        <v>0</v>
      </c>
      <c r="K31" s="9">
        <f t="shared" si="3"/>
        <v>1</v>
      </c>
    </row>
    <row r="32" spans="1:11" ht="12.75">
      <c r="A32" s="5">
        <v>31</v>
      </c>
      <c r="B32" s="5" t="s">
        <v>55</v>
      </c>
      <c r="C32" s="7" t="s">
        <v>58</v>
      </c>
      <c r="D32" s="31" t="s">
        <v>79</v>
      </c>
      <c r="E32" s="7" t="s">
        <v>37</v>
      </c>
      <c r="F32" s="7" t="s">
        <v>20</v>
      </c>
      <c r="G32" s="31" t="s">
        <v>38</v>
      </c>
      <c r="H32" s="6">
        <v>100</v>
      </c>
      <c r="I32" s="8">
        <v>100</v>
      </c>
      <c r="J32" s="8">
        <f t="shared" si="2"/>
        <v>0</v>
      </c>
      <c r="K32" s="9">
        <f t="shared" si="3"/>
        <v>1</v>
      </c>
    </row>
    <row r="33" spans="1:11" ht="12.75">
      <c r="A33" s="5">
        <v>32</v>
      </c>
      <c r="B33" s="5" t="s">
        <v>55</v>
      </c>
      <c r="C33" s="7" t="s">
        <v>58</v>
      </c>
      <c r="D33" s="31" t="s">
        <v>69</v>
      </c>
      <c r="E33" s="7" t="s">
        <v>57</v>
      </c>
      <c r="F33" s="7" t="s">
        <v>56</v>
      </c>
      <c r="G33" s="31" t="s">
        <v>38</v>
      </c>
      <c r="H33" s="6">
        <v>100</v>
      </c>
      <c r="I33" s="8">
        <v>100</v>
      </c>
      <c r="J33" s="8">
        <f t="shared" si="2"/>
        <v>0</v>
      </c>
      <c r="K33" s="9">
        <f t="shared" si="3"/>
        <v>1</v>
      </c>
    </row>
    <row r="34" spans="1:11" ht="12.75">
      <c r="A34" s="5">
        <v>33</v>
      </c>
      <c r="B34" s="5" t="s">
        <v>55</v>
      </c>
      <c r="C34" s="7" t="s">
        <v>58</v>
      </c>
      <c r="D34" s="31" t="s">
        <v>79</v>
      </c>
      <c r="E34" s="7" t="s">
        <v>52</v>
      </c>
      <c r="F34" s="7" t="s">
        <v>23</v>
      </c>
      <c r="G34" s="31" t="s">
        <v>38</v>
      </c>
      <c r="H34" s="6">
        <v>100</v>
      </c>
      <c r="I34" s="8">
        <v>100</v>
      </c>
      <c r="J34" s="8">
        <f t="shared" si="2"/>
        <v>0</v>
      </c>
      <c r="K34" s="9">
        <f t="shared" si="3"/>
        <v>1</v>
      </c>
    </row>
    <row r="35" spans="1:11" ht="12.75">
      <c r="A35" s="5">
        <v>34</v>
      </c>
      <c r="B35" s="5" t="s">
        <v>55</v>
      </c>
      <c r="C35" s="7" t="s">
        <v>58</v>
      </c>
      <c r="D35" s="31" t="s">
        <v>78</v>
      </c>
      <c r="E35" s="7" t="s">
        <v>37</v>
      </c>
      <c r="F35" s="7" t="s">
        <v>20</v>
      </c>
      <c r="G35" s="31" t="s">
        <v>38</v>
      </c>
      <c r="H35" s="6">
        <v>100</v>
      </c>
      <c r="I35" s="8">
        <v>100</v>
      </c>
      <c r="J35" s="8">
        <f t="shared" si="2"/>
        <v>0</v>
      </c>
      <c r="K35" s="9">
        <f t="shared" si="3"/>
        <v>1</v>
      </c>
    </row>
    <row r="36" spans="1:11" ht="12.75">
      <c r="A36" s="5">
        <v>35</v>
      </c>
      <c r="B36" s="5" t="s">
        <v>55</v>
      </c>
      <c r="C36" s="7" t="s">
        <v>58</v>
      </c>
      <c r="D36" s="31" t="s">
        <v>69</v>
      </c>
      <c r="E36" s="7" t="s">
        <v>60</v>
      </c>
      <c r="F36" s="7" t="s">
        <v>21</v>
      </c>
      <c r="G36" s="31" t="s">
        <v>38</v>
      </c>
      <c r="H36" s="6">
        <v>100</v>
      </c>
      <c r="I36" s="8">
        <v>100</v>
      </c>
      <c r="J36" s="8">
        <f t="shared" ref="J36:J38" si="15">H36-I36</f>
        <v>0</v>
      </c>
      <c r="K36" s="9">
        <f t="shared" ref="K36:K38" si="16">(I36/(I36+J36))</f>
        <v>1</v>
      </c>
    </row>
    <row r="37" spans="1:11" ht="12.75">
      <c r="A37" s="5">
        <v>36</v>
      </c>
      <c r="B37" s="5" t="s">
        <v>55</v>
      </c>
      <c r="C37" s="7" t="s">
        <v>58</v>
      </c>
      <c r="D37" s="31" t="s">
        <v>69</v>
      </c>
      <c r="E37" s="7" t="s">
        <v>61</v>
      </c>
      <c r="F37" s="7" t="s">
        <v>21</v>
      </c>
      <c r="G37" s="31" t="s">
        <v>38</v>
      </c>
      <c r="H37" s="6">
        <v>100</v>
      </c>
      <c r="I37" s="8">
        <v>100</v>
      </c>
      <c r="J37" s="8">
        <f t="shared" si="15"/>
        <v>0</v>
      </c>
      <c r="K37" s="9">
        <f t="shared" si="16"/>
        <v>1</v>
      </c>
    </row>
    <row r="38" spans="1:11" ht="12.75">
      <c r="A38" s="5">
        <v>37</v>
      </c>
      <c r="B38" s="5" t="s">
        <v>55</v>
      </c>
      <c r="C38" s="7" t="s">
        <v>58</v>
      </c>
      <c r="D38" s="31" t="s">
        <v>69</v>
      </c>
      <c r="E38" s="7" t="s">
        <v>62</v>
      </c>
      <c r="F38" s="7" t="s">
        <v>21</v>
      </c>
      <c r="G38" s="31" t="s">
        <v>38</v>
      </c>
      <c r="H38" s="6">
        <v>100</v>
      </c>
      <c r="I38" s="8">
        <v>100</v>
      </c>
      <c r="J38" s="8">
        <f t="shared" si="15"/>
        <v>0</v>
      </c>
      <c r="K38" s="9">
        <f t="shared" si="16"/>
        <v>1</v>
      </c>
    </row>
    <row r="39" spans="1:11" ht="12.75">
      <c r="A39" s="5">
        <v>38</v>
      </c>
      <c r="B39" s="5" t="s">
        <v>55</v>
      </c>
      <c r="C39" s="7" t="s">
        <v>58</v>
      </c>
      <c r="D39" s="31" t="s">
        <v>69</v>
      </c>
      <c r="E39" s="7" t="s">
        <v>59</v>
      </c>
      <c r="F39" s="7" t="s">
        <v>21</v>
      </c>
      <c r="G39" s="31" t="s">
        <v>38</v>
      </c>
      <c r="H39" s="6">
        <v>100</v>
      </c>
      <c r="I39" s="8">
        <v>100</v>
      </c>
      <c r="J39" s="8">
        <f t="shared" si="2"/>
        <v>0</v>
      </c>
      <c r="K39" s="9">
        <f t="shared" si="3"/>
        <v>1</v>
      </c>
    </row>
    <row r="40" spans="1:11" ht="12.75">
      <c r="A40" s="5">
        <v>39</v>
      </c>
      <c r="B40" s="5" t="s">
        <v>55</v>
      </c>
      <c r="C40" s="7" t="s">
        <v>58</v>
      </c>
      <c r="D40" s="31" t="s">
        <v>78</v>
      </c>
      <c r="E40" s="7" t="s">
        <v>52</v>
      </c>
      <c r="F40" s="7" t="s">
        <v>23</v>
      </c>
      <c r="G40" s="31" t="s">
        <v>38</v>
      </c>
      <c r="H40" s="6">
        <v>100</v>
      </c>
      <c r="I40" s="8">
        <v>100</v>
      </c>
      <c r="J40" s="8">
        <f t="shared" si="2"/>
        <v>0</v>
      </c>
      <c r="K40" s="9">
        <f t="shared" si="3"/>
        <v>1</v>
      </c>
    </row>
    <row r="41" spans="1:11" ht="12.75">
      <c r="A41" s="5">
        <v>40</v>
      </c>
      <c r="B41" s="5" t="s">
        <v>55</v>
      </c>
      <c r="C41" s="7" t="s">
        <v>90</v>
      </c>
      <c r="D41" s="31" t="s">
        <v>91</v>
      </c>
      <c r="E41" s="7" t="s">
        <v>37</v>
      </c>
      <c r="F41" s="7" t="s">
        <v>20</v>
      </c>
      <c r="G41" s="31" t="s">
        <v>38</v>
      </c>
      <c r="H41" s="6">
        <v>100</v>
      </c>
      <c r="I41" s="8">
        <v>100</v>
      </c>
      <c r="J41" s="8">
        <f t="shared" si="2"/>
        <v>0</v>
      </c>
      <c r="K41" s="9">
        <f t="shared" si="3"/>
        <v>1</v>
      </c>
    </row>
    <row r="42" spans="1:11" ht="12.75">
      <c r="A42" s="5">
        <v>41</v>
      </c>
      <c r="B42" s="5" t="s">
        <v>55</v>
      </c>
      <c r="C42" s="7" t="s">
        <v>90</v>
      </c>
      <c r="D42" s="31" t="s">
        <v>69</v>
      </c>
      <c r="E42" s="7" t="s">
        <v>92</v>
      </c>
      <c r="F42" s="7" t="s">
        <v>21</v>
      </c>
      <c r="G42" s="31" t="s">
        <v>38</v>
      </c>
      <c r="H42" s="6">
        <v>100</v>
      </c>
      <c r="I42" s="8">
        <v>100</v>
      </c>
      <c r="J42" s="8">
        <f t="shared" ref="J42:J46" si="17">H42-I42</f>
        <v>0</v>
      </c>
      <c r="K42" s="9">
        <f t="shared" ref="K42:K46" si="18">(I42/(I42+J42))</f>
        <v>1</v>
      </c>
    </row>
    <row r="43" spans="1:11" ht="12.75">
      <c r="A43" s="5">
        <v>42</v>
      </c>
      <c r="B43" s="5" t="s">
        <v>55</v>
      </c>
      <c r="C43" s="7" t="s">
        <v>90</v>
      </c>
      <c r="D43" s="31" t="s">
        <v>69</v>
      </c>
      <c r="E43" s="7" t="s">
        <v>94</v>
      </c>
      <c r="F43" s="7" t="s">
        <v>21</v>
      </c>
      <c r="G43" s="31" t="s">
        <v>38</v>
      </c>
      <c r="H43" s="6">
        <v>100</v>
      </c>
      <c r="I43" s="8">
        <v>100</v>
      </c>
      <c r="J43" s="8">
        <f t="shared" ref="J43:J44" si="19">H43-I43</f>
        <v>0</v>
      </c>
      <c r="K43" s="9">
        <f t="shared" ref="K43:K44" si="20">(I43/(I43+J43))</f>
        <v>1</v>
      </c>
    </row>
    <row r="44" spans="1:11" ht="12.75">
      <c r="A44" s="5">
        <v>43</v>
      </c>
      <c r="B44" s="5" t="s">
        <v>55</v>
      </c>
      <c r="C44" s="7" t="s">
        <v>90</v>
      </c>
      <c r="D44" s="31" t="s">
        <v>69</v>
      </c>
      <c r="E44" s="7" t="s">
        <v>93</v>
      </c>
      <c r="F44" s="7" t="s">
        <v>21</v>
      </c>
      <c r="G44" s="31" t="s">
        <v>38</v>
      </c>
      <c r="H44" s="6">
        <v>100</v>
      </c>
      <c r="I44" s="8">
        <v>100</v>
      </c>
      <c r="J44" s="8">
        <f t="shared" si="19"/>
        <v>0</v>
      </c>
      <c r="K44" s="9">
        <f t="shared" si="20"/>
        <v>1</v>
      </c>
    </row>
    <row r="45" spans="1:11" ht="12.75">
      <c r="A45" s="5">
        <v>44</v>
      </c>
      <c r="B45" s="5" t="s">
        <v>55</v>
      </c>
      <c r="C45" s="7" t="s">
        <v>90</v>
      </c>
      <c r="D45" s="31" t="s">
        <v>91</v>
      </c>
      <c r="E45" s="7" t="s">
        <v>52</v>
      </c>
      <c r="F45" s="7" t="s">
        <v>23</v>
      </c>
      <c r="G45" s="31" t="s">
        <v>38</v>
      </c>
      <c r="H45" s="6">
        <v>100</v>
      </c>
      <c r="I45" s="8">
        <v>100</v>
      </c>
      <c r="J45" s="8">
        <f t="shared" si="17"/>
        <v>0</v>
      </c>
      <c r="K45" s="9">
        <f t="shared" si="18"/>
        <v>1</v>
      </c>
    </row>
    <row r="46" spans="1:11" ht="12.75">
      <c r="A46" s="5">
        <v>45</v>
      </c>
      <c r="B46" s="5" t="s">
        <v>55</v>
      </c>
      <c r="C46" s="7" t="s">
        <v>90</v>
      </c>
      <c r="D46" s="31" t="s">
        <v>91</v>
      </c>
      <c r="E46" s="7"/>
      <c r="F46" s="7"/>
      <c r="G46" s="31" t="s">
        <v>38</v>
      </c>
      <c r="H46" s="6">
        <v>100</v>
      </c>
      <c r="I46" s="8">
        <v>100</v>
      </c>
      <c r="J46" s="8">
        <f t="shared" si="17"/>
        <v>0</v>
      </c>
      <c r="K46" s="9">
        <f t="shared" si="18"/>
        <v>1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2"/>
  <sheetViews>
    <sheetView showGridLines="0" workbookViewId="0"/>
  </sheetViews>
  <sheetFormatPr defaultColWidth="12.5703125" defaultRowHeight="15.75" customHeight="1"/>
  <sheetData>
    <row r="1" spans="1:4" ht="12.75">
      <c r="A1" s="23"/>
      <c r="B1" s="24" t="s">
        <v>31</v>
      </c>
      <c r="C1" s="25"/>
      <c r="D1" s="26"/>
    </row>
    <row r="2" spans="1:4" ht="12.75">
      <c r="A2" s="24" t="s">
        <v>13</v>
      </c>
      <c r="B2" s="23" t="s">
        <v>32</v>
      </c>
      <c r="C2" s="27" t="s">
        <v>33</v>
      </c>
      <c r="D2" s="28" t="s">
        <v>34</v>
      </c>
    </row>
    <row r="3" spans="1:4" ht="12.75">
      <c r="A3" s="23" t="s">
        <v>38</v>
      </c>
      <c r="B3" s="32">
        <v>4500</v>
      </c>
      <c r="C3" s="33">
        <v>4500</v>
      </c>
      <c r="D3" s="34">
        <v>0</v>
      </c>
    </row>
    <row r="4" spans="1:4" ht="12.75">
      <c r="A4" s="29" t="s">
        <v>35</v>
      </c>
      <c r="B4" s="35"/>
      <c r="C4" s="36"/>
      <c r="D4" s="37"/>
    </row>
    <row r="5" spans="1:4" ht="12.75">
      <c r="A5" s="30" t="s">
        <v>36</v>
      </c>
      <c r="B5" s="38">
        <v>4500</v>
      </c>
      <c r="C5" s="39">
        <v>4500</v>
      </c>
      <c r="D5" s="40">
        <v>0</v>
      </c>
    </row>
    <row r="6" spans="1:4" ht="12.75"/>
    <row r="7" spans="1:4" ht="12.75"/>
    <row r="12" spans="1:4" ht="12.75">
      <c r="A12" s="11" t="s">
        <v>17</v>
      </c>
      <c r="B12" s="12">
        <f>avancement!D2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"/>
  <sheetViews>
    <sheetView workbookViewId="0"/>
  </sheetViews>
  <sheetFormatPr defaultColWidth="12.5703125" defaultRowHeight="15.75" customHeight="1"/>
  <cols>
    <col min="1" max="1" width="15.7109375" customWidth="1"/>
    <col min="2" max="2" width="17.85546875" customWidth="1"/>
    <col min="3" max="3" width="17" customWidth="1"/>
    <col min="4" max="4" width="18.28515625" customWidth="1"/>
    <col min="5" max="5" width="13.7109375" customWidth="1"/>
  </cols>
  <sheetData>
    <row r="1" spans="1:5" ht="15.75" customHeight="1">
      <c r="A1" s="13" t="s">
        <v>24</v>
      </c>
      <c r="B1" s="13" t="s">
        <v>25</v>
      </c>
      <c r="C1" s="13" t="s">
        <v>26</v>
      </c>
      <c r="D1" s="13" t="s">
        <v>27</v>
      </c>
      <c r="E1" s="13" t="s">
        <v>28</v>
      </c>
    </row>
    <row r="2" spans="1:5" ht="15.75" customHeight="1">
      <c r="A2" s="14">
        <f>SUM('liste des taches'!H:H)</f>
        <v>4500</v>
      </c>
      <c r="B2" s="14">
        <f>SUM('liste des taches'!I:I)</f>
        <v>4500</v>
      </c>
      <c r="C2" s="14">
        <f>SUM('liste des taches'!J:J)</f>
        <v>0</v>
      </c>
      <c r="D2" s="15">
        <f>(B2/(B2+C2))</f>
        <v>1</v>
      </c>
      <c r="E2" s="16">
        <f>((B2+C2)-A2)/A2</f>
        <v>0</v>
      </c>
    </row>
    <row r="3" spans="1:5" ht="15.75" customHeight="1">
      <c r="A3" s="17"/>
      <c r="B3" s="17"/>
      <c r="C3" s="14">
        <f>C2/60</f>
        <v>0</v>
      </c>
      <c r="D3" s="17" t="s">
        <v>29</v>
      </c>
      <c r="E3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"/>
  <sheetViews>
    <sheetView workbookViewId="0"/>
  </sheetViews>
  <sheetFormatPr defaultColWidth="12.5703125" defaultRowHeight="15.75" customHeight="1"/>
  <sheetData>
    <row r="1" spans="1:5" ht="15.75" customHeight="1">
      <c r="A1" s="18" t="s">
        <v>7</v>
      </c>
      <c r="B1" s="19" t="s">
        <v>30</v>
      </c>
      <c r="C1" s="20">
        <v>46048</v>
      </c>
      <c r="D1" s="20">
        <v>46049</v>
      </c>
      <c r="E1" s="20">
        <v>46050</v>
      </c>
    </row>
    <row r="2" spans="1:5" ht="15.75" customHeight="1">
      <c r="A2" s="21">
        <v>1</v>
      </c>
      <c r="B2" s="14">
        <f t="shared" ref="B2:B10" si="0">SUM(D2:P2)</f>
        <v>20</v>
      </c>
      <c r="C2" s="17"/>
      <c r="D2" s="21">
        <v>20</v>
      </c>
      <c r="E2" s="17"/>
    </row>
    <row r="3" spans="1:5" ht="15.75" customHeight="1">
      <c r="A3" s="21">
        <v>2</v>
      </c>
      <c r="B3" s="14">
        <f t="shared" si="0"/>
        <v>0</v>
      </c>
      <c r="C3" s="17"/>
      <c r="D3" s="17"/>
      <c r="E3" s="17"/>
    </row>
    <row r="4" spans="1:5" ht="15.75" customHeight="1">
      <c r="A4" s="21">
        <v>3</v>
      </c>
      <c r="B4" s="14">
        <f t="shared" si="0"/>
        <v>10</v>
      </c>
      <c r="C4" s="21">
        <v>20</v>
      </c>
      <c r="D4" s="21">
        <v>10</v>
      </c>
      <c r="E4" s="17"/>
    </row>
    <row r="5" spans="1:5" ht="15.75" customHeight="1">
      <c r="A5" s="21">
        <v>4</v>
      </c>
      <c r="B5" s="14">
        <f t="shared" si="0"/>
        <v>0</v>
      </c>
      <c r="C5" s="17"/>
      <c r="D5" s="17"/>
      <c r="E5" s="17"/>
    </row>
    <row r="6" spans="1:5" ht="15.75" customHeight="1">
      <c r="A6" s="21">
        <v>5</v>
      </c>
      <c r="B6" s="14">
        <f t="shared" si="0"/>
        <v>10</v>
      </c>
      <c r="C6" s="17"/>
      <c r="D6" s="22">
        <v>10</v>
      </c>
      <c r="E6" s="17"/>
    </row>
    <row r="7" spans="1:5" ht="15.75" customHeight="1">
      <c r="A7" s="21">
        <v>6</v>
      </c>
      <c r="B7" s="14">
        <f t="shared" si="0"/>
        <v>0</v>
      </c>
      <c r="C7" s="17"/>
      <c r="D7" s="17"/>
      <c r="E7" s="17"/>
    </row>
    <row r="8" spans="1:5" ht="15.75" customHeight="1">
      <c r="A8" s="21">
        <v>7</v>
      </c>
      <c r="B8" s="14">
        <f t="shared" si="0"/>
        <v>90</v>
      </c>
      <c r="C8" s="17"/>
      <c r="D8" s="22">
        <v>90</v>
      </c>
      <c r="E8" s="17"/>
    </row>
    <row r="9" spans="1:5" ht="15.75" customHeight="1">
      <c r="A9" s="10">
        <v>8</v>
      </c>
      <c r="B9" s="14">
        <f t="shared" si="0"/>
        <v>30</v>
      </c>
      <c r="D9" s="10">
        <v>30</v>
      </c>
    </row>
    <row r="10" spans="1:5" ht="15.75" customHeight="1">
      <c r="A10" s="10">
        <v>9</v>
      </c>
      <c r="B10" s="14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groupe</vt:lpstr>
      <vt:lpstr>liste des taches</vt:lpstr>
      <vt:lpstr>Recap</vt:lpstr>
      <vt:lpstr>avancement</vt:lpstr>
      <vt:lpstr>detail_avancement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Rohy RAJAONARIVELO</cp:lastModifiedBy>
  <dcterms:modified xsi:type="dcterms:W3CDTF">2026-05-13T11:43:16Z</dcterms:modified>
</cp:coreProperties>
</file>