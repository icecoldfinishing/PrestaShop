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E:\EVAL\1_PrestaShop\"/>
    </mc:Choice>
  </mc:AlternateContent>
  <xr:revisionPtr revIDLastSave="0" documentId="13_ncr:1_{405CDB05-BA9E-4FC7-B4A4-375EB51BE326}" xr6:coauthVersionLast="47" xr6:coauthVersionMax="47" xr10:uidLastSave="{00000000-0000-0000-0000-000000000000}"/>
  <bookViews>
    <workbookView xWindow="-120" yWindow="-120" windowWidth="25440" windowHeight="15270" activeTab="4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</workbook>
</file>

<file path=xl/calcChain.xml><?xml version="1.0" encoding="utf-8"?>
<calcChain xmlns="http://schemas.openxmlformats.org/spreadsheetml/2006/main">
  <c r="B93" i="5" l="1"/>
  <c r="B94" i="5"/>
  <c r="B95" i="5"/>
  <c r="B96" i="5"/>
  <c r="B97" i="5"/>
  <c r="B98" i="5"/>
  <c r="B99" i="5"/>
  <c r="B100" i="5"/>
  <c r="B101" i="5"/>
  <c r="B102" i="5"/>
  <c r="J94" i="5"/>
  <c r="J95" i="5"/>
  <c r="J96" i="5"/>
  <c r="J97" i="5"/>
  <c r="J98" i="5"/>
  <c r="J99" i="5"/>
  <c r="J100" i="5"/>
  <c r="J101" i="5"/>
  <c r="J102" i="5"/>
  <c r="J93" i="5"/>
  <c r="I99" i="2"/>
  <c r="J99" i="2"/>
  <c r="K99" i="2"/>
  <c r="I100" i="2"/>
  <c r="J100" i="2"/>
  <c r="K100" i="2" s="1"/>
  <c r="I101" i="2"/>
  <c r="J101" i="2"/>
  <c r="K101" i="2" s="1"/>
  <c r="I102" i="2"/>
  <c r="J102" i="2"/>
  <c r="K102" i="2"/>
  <c r="I95" i="2"/>
  <c r="J95" i="2" s="1"/>
  <c r="K95" i="2" s="1"/>
  <c r="I96" i="2"/>
  <c r="J96" i="2" s="1"/>
  <c r="I97" i="2"/>
  <c r="J97" i="2" s="1"/>
  <c r="K97" i="2" s="1"/>
  <c r="I98" i="2"/>
  <c r="J98" i="2" s="1"/>
  <c r="K98" i="2" s="1"/>
  <c r="I94" i="2"/>
  <c r="J94" i="2" s="1"/>
  <c r="C3" i="5"/>
  <c r="C4" i="5"/>
  <c r="C5" i="5"/>
  <c r="C6" i="5"/>
  <c r="C7" i="5"/>
  <c r="C8" i="5"/>
  <c r="C9" i="5"/>
  <c r="C10" i="5"/>
  <c r="C11" i="5"/>
  <c r="C12" i="5"/>
  <c r="C13" i="5"/>
  <c r="B13" i="5" s="1"/>
  <c r="I83" i="5"/>
  <c r="I84" i="5"/>
  <c r="I85" i="5"/>
  <c r="I86" i="5"/>
  <c r="I87" i="5"/>
  <c r="I88" i="5"/>
  <c r="B88" i="5" s="1"/>
  <c r="I89" i="5"/>
  <c r="I90" i="5"/>
  <c r="B90" i="5" s="1"/>
  <c r="I91" i="5"/>
  <c r="I92" i="5"/>
  <c r="B92" i="5" s="1"/>
  <c r="I82" i="5"/>
  <c r="H78" i="5"/>
  <c r="H79" i="5"/>
  <c r="H80" i="5"/>
  <c r="H81" i="5"/>
  <c r="H77" i="5"/>
  <c r="G73" i="5"/>
  <c r="G74" i="5"/>
  <c r="G75" i="5"/>
  <c r="G76" i="5"/>
  <c r="G72" i="5"/>
  <c r="B89" i="5"/>
  <c r="B91" i="5"/>
  <c r="F49" i="5"/>
  <c r="F50" i="5"/>
  <c r="F51" i="5"/>
  <c r="F52" i="5"/>
  <c r="F53" i="5"/>
  <c r="F54" i="5"/>
  <c r="B54" i="5" s="1"/>
  <c r="F55" i="5"/>
  <c r="B55" i="5" s="1"/>
  <c r="F56" i="5"/>
  <c r="B56" i="5" s="1"/>
  <c r="F57" i="5"/>
  <c r="B57" i="5" s="1"/>
  <c r="F58" i="5"/>
  <c r="B58" i="5" s="1"/>
  <c r="F59" i="5"/>
  <c r="B59" i="5" s="1"/>
  <c r="F60" i="5"/>
  <c r="B60" i="5" s="1"/>
  <c r="F61" i="5"/>
  <c r="B61" i="5" s="1"/>
  <c r="F62" i="5"/>
  <c r="B62" i="5" s="1"/>
  <c r="F63" i="5"/>
  <c r="B63" i="5" s="1"/>
  <c r="F64" i="5"/>
  <c r="B64" i="5" s="1"/>
  <c r="F65" i="5"/>
  <c r="F66" i="5"/>
  <c r="F67" i="5"/>
  <c r="F68" i="5"/>
  <c r="F69" i="5"/>
  <c r="F70" i="5"/>
  <c r="B70" i="5" s="1"/>
  <c r="F71" i="5"/>
  <c r="B71" i="5" s="1"/>
  <c r="F48" i="5"/>
  <c r="E47" i="5"/>
  <c r="E40" i="5"/>
  <c r="E41" i="5"/>
  <c r="B41" i="5" s="1"/>
  <c r="E42" i="5"/>
  <c r="E43" i="5"/>
  <c r="B43" i="5" s="1"/>
  <c r="E44" i="5"/>
  <c r="E45" i="5"/>
  <c r="B45" i="5" s="1"/>
  <c r="E46" i="5"/>
  <c r="B46" i="5" s="1"/>
  <c r="B47" i="5"/>
  <c r="E39" i="5"/>
  <c r="D38" i="5"/>
  <c r="B3" i="5"/>
  <c r="B4" i="5"/>
  <c r="B5" i="5"/>
  <c r="B6" i="5"/>
  <c r="B7" i="5"/>
  <c r="B8" i="5"/>
  <c r="B9" i="5"/>
  <c r="B10" i="5"/>
  <c r="B11" i="5"/>
  <c r="B12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2" i="5"/>
  <c r="B44" i="5"/>
  <c r="B48" i="5"/>
  <c r="B49" i="5"/>
  <c r="B50" i="5"/>
  <c r="B51" i="5"/>
  <c r="B52" i="5"/>
  <c r="B53" i="5"/>
  <c r="B65" i="5"/>
  <c r="B66" i="5"/>
  <c r="B67" i="5"/>
  <c r="B68" i="5"/>
  <c r="B69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D37" i="5"/>
  <c r="D32" i="5"/>
  <c r="D33" i="5"/>
  <c r="D34" i="5"/>
  <c r="D35" i="5"/>
  <c r="D36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14" i="5"/>
  <c r="B2" i="5"/>
  <c r="C2" i="5"/>
  <c r="I17" i="2"/>
  <c r="I18" i="2"/>
  <c r="I19" i="2"/>
  <c r="I20" i="2"/>
  <c r="I21" i="2"/>
  <c r="I22" i="2"/>
  <c r="I23" i="2"/>
  <c r="I24" i="2"/>
  <c r="I25" i="2"/>
  <c r="I26" i="2"/>
  <c r="J26" i="2" s="1"/>
  <c r="K26" i="2" s="1"/>
  <c r="I27" i="2"/>
  <c r="J27" i="2" s="1"/>
  <c r="K27" i="2" s="1"/>
  <c r="I28" i="2"/>
  <c r="J28" i="2" s="1"/>
  <c r="K28" i="2" s="1"/>
  <c r="I29" i="2"/>
  <c r="J29" i="2" s="1"/>
  <c r="K29" i="2" s="1"/>
  <c r="I30" i="2"/>
  <c r="J30" i="2" s="1"/>
  <c r="K30" i="2" s="1"/>
  <c r="I31" i="2"/>
  <c r="J31" i="2" s="1"/>
  <c r="K31" i="2" s="1"/>
  <c r="I32" i="2"/>
  <c r="J32" i="2" s="1"/>
  <c r="K32" i="2" s="1"/>
  <c r="I33" i="2"/>
  <c r="I34" i="2"/>
  <c r="I35" i="2"/>
  <c r="I36" i="2"/>
  <c r="I37" i="2"/>
  <c r="I38" i="2"/>
  <c r="I39" i="2"/>
  <c r="I40" i="2"/>
  <c r="I41" i="2"/>
  <c r="I42" i="2"/>
  <c r="J42" i="2" s="1"/>
  <c r="K42" i="2" s="1"/>
  <c r="I43" i="2"/>
  <c r="J43" i="2" s="1"/>
  <c r="K43" i="2" s="1"/>
  <c r="I44" i="2"/>
  <c r="J44" i="2" s="1"/>
  <c r="K44" i="2" s="1"/>
  <c r="I45" i="2"/>
  <c r="J45" i="2" s="1"/>
  <c r="K45" i="2" s="1"/>
  <c r="I46" i="2"/>
  <c r="J46" i="2" s="1"/>
  <c r="K46" i="2" s="1"/>
  <c r="I47" i="2"/>
  <c r="J47" i="2" s="1"/>
  <c r="K47" i="2" s="1"/>
  <c r="I48" i="2"/>
  <c r="J48" i="2" s="1"/>
  <c r="K48" i="2" s="1"/>
  <c r="I49" i="2"/>
  <c r="I50" i="2"/>
  <c r="I51" i="2"/>
  <c r="I52" i="2"/>
  <c r="I53" i="2"/>
  <c r="I54" i="2"/>
  <c r="I55" i="2"/>
  <c r="J55" i="2" s="1"/>
  <c r="K55" i="2" s="1"/>
  <c r="I56" i="2"/>
  <c r="I57" i="2"/>
  <c r="J57" i="2" s="1"/>
  <c r="K57" i="2" s="1"/>
  <c r="I58" i="2"/>
  <c r="J58" i="2" s="1"/>
  <c r="K58" i="2" s="1"/>
  <c r="I59" i="2"/>
  <c r="J59" i="2" s="1"/>
  <c r="K59" i="2" s="1"/>
  <c r="I60" i="2"/>
  <c r="J60" i="2" s="1"/>
  <c r="K60" i="2" s="1"/>
  <c r="I61" i="2"/>
  <c r="I62" i="2"/>
  <c r="J62" i="2" s="1"/>
  <c r="K62" i="2" s="1"/>
  <c r="I63" i="2"/>
  <c r="J63" i="2" s="1"/>
  <c r="K63" i="2" s="1"/>
  <c r="I64" i="2"/>
  <c r="J64" i="2" s="1"/>
  <c r="K64" i="2" s="1"/>
  <c r="I65" i="2"/>
  <c r="I66" i="2"/>
  <c r="I67" i="2"/>
  <c r="I68" i="2"/>
  <c r="I69" i="2"/>
  <c r="I70" i="2"/>
  <c r="I71" i="2"/>
  <c r="I72" i="2"/>
  <c r="J72" i="2" s="1"/>
  <c r="K72" i="2" s="1"/>
  <c r="I73" i="2"/>
  <c r="J73" i="2" s="1"/>
  <c r="K73" i="2" s="1"/>
  <c r="I74" i="2"/>
  <c r="J74" i="2" s="1"/>
  <c r="K74" i="2" s="1"/>
  <c r="I75" i="2"/>
  <c r="J75" i="2" s="1"/>
  <c r="K75" i="2" s="1"/>
  <c r="I76" i="2"/>
  <c r="J76" i="2" s="1"/>
  <c r="K76" i="2" s="1"/>
  <c r="I77" i="2"/>
  <c r="I78" i="2"/>
  <c r="I79" i="2"/>
  <c r="J79" i="2" s="1"/>
  <c r="I80" i="2"/>
  <c r="J80" i="2" s="1"/>
  <c r="K80" i="2" s="1"/>
  <c r="I81" i="2"/>
  <c r="I82" i="2"/>
  <c r="I83" i="2"/>
  <c r="I84" i="2"/>
  <c r="I85" i="2"/>
  <c r="I86" i="2"/>
  <c r="I87" i="2"/>
  <c r="I88" i="2"/>
  <c r="I89" i="2"/>
  <c r="I90" i="2"/>
  <c r="J90" i="2" s="1"/>
  <c r="K90" i="2" s="1"/>
  <c r="I91" i="2"/>
  <c r="J91" i="2" s="1"/>
  <c r="K91" i="2" s="1"/>
  <c r="I92" i="2"/>
  <c r="I93" i="2"/>
  <c r="J93" i="2" s="1"/>
  <c r="K93" i="2" s="1"/>
  <c r="I3" i="2"/>
  <c r="I4" i="2"/>
  <c r="I5" i="2"/>
  <c r="I6" i="2"/>
  <c r="I7" i="2"/>
  <c r="J7" i="2" s="1"/>
  <c r="K7" i="2" s="1"/>
  <c r="I8" i="2"/>
  <c r="J8" i="2" s="1"/>
  <c r="K8" i="2" s="1"/>
  <c r="I9" i="2"/>
  <c r="J9" i="2" s="1"/>
  <c r="K9" i="2" s="1"/>
  <c r="I10" i="2"/>
  <c r="J10" i="2" s="1"/>
  <c r="K10" i="2" s="1"/>
  <c r="I11" i="2"/>
  <c r="J11" i="2" s="1"/>
  <c r="K11" i="2" s="1"/>
  <c r="I12" i="2"/>
  <c r="J12" i="2" s="1"/>
  <c r="K12" i="2" s="1"/>
  <c r="I13" i="2"/>
  <c r="J13" i="2" s="1"/>
  <c r="K13" i="2" s="1"/>
  <c r="I14" i="2"/>
  <c r="J14" i="2" s="1"/>
  <c r="I15" i="2"/>
  <c r="I16" i="2"/>
  <c r="I2" i="2"/>
  <c r="J81" i="2"/>
  <c r="K81" i="2" s="1"/>
  <c r="J77" i="2"/>
  <c r="K77" i="2"/>
  <c r="J78" i="2"/>
  <c r="K78" i="2" s="1"/>
  <c r="J84" i="2"/>
  <c r="K84" i="2" s="1"/>
  <c r="J87" i="2"/>
  <c r="K87" i="2" s="1"/>
  <c r="J88" i="2"/>
  <c r="K88" i="2" s="1"/>
  <c r="J92" i="2"/>
  <c r="K92" i="2" s="1"/>
  <c r="J89" i="2"/>
  <c r="K89" i="2" s="1"/>
  <c r="J82" i="2"/>
  <c r="K82" i="2" s="1"/>
  <c r="J83" i="2"/>
  <c r="K83" i="2" s="1"/>
  <c r="J85" i="2"/>
  <c r="K85" i="2" s="1"/>
  <c r="J86" i="2"/>
  <c r="K86" i="2" s="1"/>
  <c r="J68" i="2"/>
  <c r="K68" i="2" s="1"/>
  <c r="J69" i="2"/>
  <c r="K69" i="2" s="1"/>
  <c r="J70" i="2"/>
  <c r="K70" i="2" s="1"/>
  <c r="J71" i="2"/>
  <c r="K71" i="2" s="1"/>
  <c r="J67" i="2"/>
  <c r="K67" i="2" s="1"/>
  <c r="J66" i="2"/>
  <c r="K66" i="2" s="1"/>
  <c r="J65" i="2"/>
  <c r="K65" i="2" s="1"/>
  <c r="J61" i="2"/>
  <c r="K61" i="2" s="1"/>
  <c r="J56" i="2"/>
  <c r="K56" i="2" s="1"/>
  <c r="J54" i="2"/>
  <c r="K54" i="2" s="1"/>
  <c r="J53" i="2"/>
  <c r="K53" i="2" s="1"/>
  <c r="J17" i="2"/>
  <c r="K17" i="2" s="1"/>
  <c r="J18" i="2"/>
  <c r="K18" i="2" s="1"/>
  <c r="J19" i="2"/>
  <c r="K19" i="2" s="1"/>
  <c r="J20" i="2"/>
  <c r="K20" i="2" s="1"/>
  <c r="J21" i="2"/>
  <c r="K21" i="2" s="1"/>
  <c r="J22" i="2"/>
  <c r="K22" i="2" s="1"/>
  <c r="J23" i="2"/>
  <c r="K23" i="2" s="1"/>
  <c r="J24" i="2"/>
  <c r="K24" i="2" s="1"/>
  <c r="J25" i="2"/>
  <c r="K25" i="2" s="1"/>
  <c r="J33" i="2"/>
  <c r="K33" i="2" s="1"/>
  <c r="J34" i="2"/>
  <c r="K34" i="2" s="1"/>
  <c r="J35" i="2"/>
  <c r="K35" i="2" s="1"/>
  <c r="J36" i="2"/>
  <c r="K36" i="2" s="1"/>
  <c r="J37" i="2"/>
  <c r="K37" i="2" s="1"/>
  <c r="J38" i="2"/>
  <c r="K38" i="2" s="1"/>
  <c r="J39" i="2"/>
  <c r="K39" i="2" s="1"/>
  <c r="J40" i="2"/>
  <c r="K40" i="2" s="1"/>
  <c r="J41" i="2"/>
  <c r="K41" i="2" s="1"/>
  <c r="J49" i="2"/>
  <c r="K49" i="2" s="1"/>
  <c r="J50" i="2"/>
  <c r="K50" i="2" s="1"/>
  <c r="J51" i="2"/>
  <c r="K51" i="2" s="1"/>
  <c r="J52" i="2"/>
  <c r="K52" i="2" s="1"/>
  <c r="J16" i="2"/>
  <c r="K16" i="2" s="1"/>
  <c r="J15" i="2"/>
  <c r="K15" i="2" s="1"/>
  <c r="J6" i="2"/>
  <c r="K6" i="2" s="1"/>
  <c r="J4" i="2"/>
  <c r="K4" i="2" s="1"/>
  <c r="K96" i="2" l="1"/>
  <c r="K94" i="2"/>
  <c r="K79" i="2"/>
  <c r="K14" i="2"/>
  <c r="J5" i="2"/>
  <c r="K5" i="2" s="1"/>
  <c r="B2" i="4"/>
  <c r="J2" i="2"/>
  <c r="K2" i="2" s="1"/>
  <c r="J3" i="2"/>
  <c r="K3" i="2" s="1"/>
  <c r="C2" i="4" l="1"/>
  <c r="C3" i="4" s="1"/>
  <c r="D2" i="4" l="1"/>
  <c r="B12" i="3" s="1"/>
  <c r="A2" i="4"/>
  <c r="E2" i="4" s="1"/>
</calcChain>
</file>

<file path=xl/sharedStrings.xml><?xml version="1.0" encoding="utf-8"?>
<sst xmlns="http://schemas.openxmlformats.org/spreadsheetml/2006/main" count="642" uniqueCount="170">
  <si>
    <t>A</t>
  </si>
  <si>
    <t>ETU00YYYY</t>
  </si>
  <si>
    <t>B</t>
  </si>
  <si>
    <t>ETU00ZZZZ</t>
  </si>
  <si>
    <t>C</t>
  </si>
  <si>
    <t>ETU00WWWW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</si>
  <si>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</si>
  <si>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</si>
  <si>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</si>
  <si>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</si>
  <si>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</si>
  <si>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</si>
  <si>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</si>
  <si>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</si>
  <si>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</si>
  <si>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</si>
  <si>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</si>
  <si>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</si>
  <si>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</si>
  <si>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Affichage</t>
  </si>
  <si>
    <t>Metier</t>
  </si>
  <si>
    <t>checkLogin</t>
  </si>
  <si>
    <t>Integration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</si>
  <si>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</si>
  <si>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</si>
  <si>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</si>
  <si>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</si>
  <si>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</si>
  <si>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</si>
  <si>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</si>
  <si>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</si>
  <si>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</si>
  <si>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</si>
  <si>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</si>
  <si>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Creation interface</t>
  </si>
  <si>
    <t>ETU003295</t>
  </si>
  <si>
    <t>script de verification</t>
  </si>
  <si>
    <t>Protections Pages</t>
  </si>
  <si>
    <t>mode FO ou BO</t>
  </si>
  <si>
    <t>Layouts separe FO ouBO</t>
  </si>
  <si>
    <t>Gestion Donne</t>
  </si>
  <si>
    <t>fonctions de reinitialisation</t>
  </si>
  <si>
    <t>liaison entre tables de reinitialisation</t>
  </si>
  <si>
    <t>Gestion Import</t>
  </si>
  <si>
    <t>Gestion Commande</t>
  </si>
  <si>
    <t>Creation Interface</t>
  </si>
  <si>
    <t>OrderList</t>
  </si>
  <si>
    <t>Script d'integration</t>
  </si>
  <si>
    <t xml:space="preserve">OrderList </t>
  </si>
  <si>
    <t>Modification Etat , psUpdateOrderState</t>
  </si>
  <si>
    <t>FrontOffice</t>
  </si>
  <si>
    <t>metier</t>
  </si>
  <si>
    <t>fonctions de liste des products</t>
  </si>
  <si>
    <t>Accueil,gestion produits</t>
  </si>
  <si>
    <t>fonctions psGetProductFullDetails</t>
  </si>
  <si>
    <t>fonctions product_feature_values</t>
  </si>
  <si>
    <t>fonctions product_option_values</t>
  </si>
  <si>
    <t>fonctions combinations</t>
  </si>
  <si>
    <t>fonctions etat setLoggedAdmin</t>
  </si>
  <si>
    <t>gestion emit pour liasons</t>
  </si>
  <si>
    <t>reset.types.ts</t>
  </si>
  <si>
    <t>type de module de system de reinitialisation</t>
  </si>
  <si>
    <t>auth.vue</t>
  </si>
  <si>
    <t>auth-state.js</t>
  </si>
  <si>
    <t>prestashop-api.js</t>
  </si>
  <si>
    <t>App.vue</t>
  </si>
  <si>
    <t>DataResetManager.vue</t>
  </si>
  <si>
    <t>useDataReset.ts</t>
  </si>
  <si>
    <t>reset-modules.config.ts</t>
  </si>
  <si>
    <t>ProductImport.service.ts</t>
  </si>
  <si>
    <t>CombinationImport.service.ts</t>
  </si>
  <si>
    <t>OrderImport.service.ts</t>
  </si>
  <si>
    <t>Import.vue</t>
  </si>
  <si>
    <t>ProductDetail.vue</t>
  </si>
  <si>
    <t>Home.vue</t>
  </si>
  <si>
    <t>ResetReport.vue</t>
  </si>
  <si>
    <t>fonction setStock</t>
  </si>
  <si>
    <t>fonction runCombinationImport</t>
  </si>
  <si>
    <t>Gestion Panier</t>
  </si>
  <si>
    <t>Cart.vue</t>
  </si>
  <si>
    <t>ProductLoadCsv.ts</t>
  </si>
  <si>
    <t>Chargement csv en data[]</t>
  </si>
  <si>
    <t>CombinationLoadCsv.ts</t>
  </si>
  <si>
    <t>OrderImport.ts</t>
  </si>
  <si>
    <t>fonction mapping Etat Order et Payent</t>
  </si>
  <si>
    <t>fonction gestion customer: find /create</t>
  </si>
  <si>
    <t>fonction gestion panier find/create</t>
  </si>
  <si>
    <t>fonction payement et ajout dans panier</t>
  </si>
  <si>
    <t>fonction creation commande, et maj</t>
  </si>
  <si>
    <t>OrderLoadCsv.ts</t>
  </si>
  <si>
    <t>fonction calculatePrix Ht</t>
  </si>
  <si>
    <t>fonction obtention group de taxe</t>
  </si>
  <si>
    <t>fonction de build de xml de produit</t>
  </si>
  <si>
    <t>fonction runProductImport</t>
  </si>
  <si>
    <t>fonction runOrderImport</t>
  </si>
  <si>
    <t>Gestion Import Product</t>
  </si>
  <si>
    <t>Gestion Import Combination</t>
  </si>
  <si>
    <t>Gestion Import Order</t>
  </si>
  <si>
    <t>Gestion Import Image</t>
  </si>
  <si>
    <t>correspondanceImage.ts</t>
  </si>
  <si>
    <t>ImageImport.service.ts</t>
  </si>
  <si>
    <t>cherche nom_fichier % ref de produit</t>
  </si>
  <si>
    <t>dezip et mise a jour image dans prestashop</t>
  </si>
  <si>
    <t>fonction get cle de panier</t>
  </si>
  <si>
    <t>Gestion Achat</t>
  </si>
  <si>
    <t>OrderList.vue</t>
  </si>
  <si>
    <t>Script d'integration chargement Etat</t>
  </si>
  <si>
    <t>Etat Commande</t>
  </si>
  <si>
    <t>Integration de panier ey mise a jour Etat Commande</t>
  </si>
  <si>
    <t>Tableau de bord</t>
  </si>
  <si>
    <t xml:space="preserve">load des commandes by date et calcul des amount </t>
  </si>
  <si>
    <t>Gestion Route</t>
  </si>
  <si>
    <t>Gestion Utilisateur</t>
  </si>
  <si>
    <t>UserPick.vue</t>
  </si>
  <si>
    <t>mise a jour de currentPage pour choix utilisateur</t>
  </si>
  <si>
    <t>Get tous les comptes utilisateurs</t>
  </si>
  <si>
    <t>Fontion de login dynamique selon user choisies</t>
  </si>
  <si>
    <t>Gestion Produit</t>
  </si>
  <si>
    <t>Mise a jour interface</t>
  </si>
  <si>
    <t>fonction de gestion de badge selon date availability</t>
  </si>
  <si>
    <t>Mise a jour interface ajout filtre</t>
  </si>
  <si>
    <t>fonction filtre de produits selon criteres</t>
  </si>
  <si>
    <t>auth-api.js</t>
  </si>
  <si>
    <t>product-api.js</t>
  </si>
  <si>
    <t>Fonction de gestion d'erreur  de fichier</t>
  </si>
  <si>
    <t>Mise a jour d'interface pour les logs</t>
  </si>
  <si>
    <t>Gestion de stock</t>
  </si>
  <si>
    <t>StockManager.vue</t>
  </si>
  <si>
    <t>stock-api.js</t>
  </si>
  <si>
    <t>Ajout champ information stock disponible</t>
  </si>
  <si>
    <t>Existing App</t>
  </si>
  <si>
    <t>StockDelta.php</t>
  </si>
  <si>
    <t>ws_stock_update.php</t>
  </si>
  <si>
    <t>Creation du mouvement de stock endpoint</t>
  </si>
  <si>
    <t>Creation Entite du module de stock et endpoint</t>
  </si>
  <si>
    <t>Appelle de l'endpoint mise a jour stockAvailable</t>
  </si>
  <si>
    <t>Appelle de l'endpoint mise a jour stockByDelta</t>
  </si>
  <si>
    <t>Fonction get stock mvt a partir des commandes</t>
  </si>
  <si>
    <t>chargement des stock et maj quantite</t>
  </si>
  <si>
    <t>Ajout option voir evolution et creation modal</t>
  </si>
  <si>
    <t>Appelle  get stock_deltas et psGetStockMovementsFromOrders</t>
  </si>
  <si>
    <t>Interface graphique</t>
  </si>
  <si>
    <t>Activation du module et cle ws stock update via delta</t>
  </si>
  <si>
    <t>Appelle fonction stock_availables</t>
  </si>
  <si>
    <t>Gestion navigation anonym</t>
  </si>
  <si>
    <t>FoUserPick.vue</t>
  </si>
  <si>
    <t>Interface</t>
  </si>
  <si>
    <t>Champ navigation anonym ou guest</t>
  </si>
  <si>
    <t>gestion et protection pages sans authentification</t>
  </si>
  <si>
    <t>Limit du navigation guest jusqua ce que validation achat</t>
  </si>
  <si>
    <t>Creation module d'authentification au moment validation achat</t>
  </si>
  <si>
    <t xml:space="preserve">Integration  authentification avec compte ou creation </t>
  </si>
  <si>
    <t>Chargement des paniers si authentifie avec compte déjà present</t>
  </si>
  <si>
    <t xml:space="preserve">Finalisation du commande </t>
  </si>
  <si>
    <t>fonction de gestion de declinaisons</t>
  </si>
  <si>
    <t>fonction get dynamique de taux de tax</t>
  </si>
  <si>
    <t>fonction gestion address</t>
  </si>
  <si>
    <t>Creation du nouveau module qui fonctionne</t>
  </si>
  <si>
    <t>Creation nouveau mise a jour stock qui fonctionne</t>
  </si>
  <si>
    <t>mise a jour etat livre + mvt stock auto</t>
  </si>
  <si>
    <t>OrderList.php</t>
  </si>
  <si>
    <t>Ajout button Livré</t>
  </si>
  <si>
    <t>Statistique</t>
  </si>
  <si>
    <t>Stat.vue</t>
  </si>
  <si>
    <t>Creation d'interface montant vente achat et benefice</t>
  </si>
  <si>
    <t>Scipt d'integration calcul Statistique</t>
  </si>
  <si>
    <t>Creation d'interface statistique tableau par categorie</t>
  </si>
  <si>
    <t>Scipt d'integration tableau par categorie</t>
  </si>
  <si>
    <t>(blank)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</si>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</sst>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3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8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7" fillId="3" borderId="0" xfId="0" applyFont="1" applyFill="1"/>
    <xf numFmtId="10" fontId="7" fillId="3" borderId="0" xfId="0" applyNumberFormat="1" applyFont="1" applyFill="1"/>
    <xf numFmtId="0" fontId="8" fillId="4" borderId="2" xfId="0" applyFont="1" applyFill="1" applyBorder="1"/>
    <xf numFmtId="0" fontId="9" fillId="0" borderId="0" xfId="0" applyFont="1" applyAlignment="1">
      <alignment horizontal="right"/>
    </xf>
    <xf numFmtId="10" fontId="9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0" fontId="9" fillId="0" borderId="0" xfId="0" applyFont="1"/>
    <xf numFmtId="0" fontId="10" fillId="4" borderId="0" xfId="0" applyFont="1" applyFill="1"/>
    <xf numFmtId="0" fontId="10" fillId="0" borderId="0" xfId="0" applyFont="1"/>
    <xf numFmtId="164" fontId="10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1" xfId="0" applyFont="1" applyBorder="1"/>
    <xf numFmtId="164" fontId="0" fillId="0" borderId="0" xfId="0" applyNumberFormat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hy" refreshedDate="46161.386780092595" refreshedVersion="8" recordCount="102" xr:uid="{00000000-000A-0000-FFFF-FFFF00000000}">
  <cacheSource type="worksheet">
    <worksheetSource ref="B1:K1006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15">
        <s v="ETU003295"/>
        <m/>
        <s v="ETU003296" u="1"/>
        <s v="ETU003297" u="1"/>
        <s v="ETU003298" u="1"/>
        <s v="ETU003299" u="1"/>
        <s v="ETU003300" u="1"/>
        <s v="ETU003301" u="1"/>
        <s v="ETU003302" u="1"/>
        <s v="ETU003303" u="1"/>
        <s v="ETU003304" u="1"/>
        <s v="ETU00YYYY" u="1"/>
        <s v="ETU00XXXX" u="1"/>
        <s v="ETU00ZZZZ" u="1"/>
        <s v="ETU00WWWW" u="1"/>
      </sharedItems>
    </cacheField>
    <cacheField name="Estimation" numFmtId="0">
      <sharedItems containsString="0" containsBlank="1" containsNumber="1" containsInteger="1" minValue="2" maxValue="45"/>
    </cacheField>
    <cacheField name="Temps passé" numFmtId="0">
      <sharedItems containsString="0" containsBlank="1" containsNumber="1" containsInteger="1" minValue="2" maxValue="45"/>
    </cacheField>
    <cacheField name="Reste à faire" numFmtId="0">
      <sharedItems containsString="0" containsBlank="1" containsNumber="1" containsInteger="1" minValue="0" maxValue="0"/>
    </cacheField>
    <cacheField name="Avancement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">
  <r>
    <s v="Backoffice"/>
    <s v="Gestion Login"/>
    <s v="auth.vue"/>
    <s v="Creation interface"/>
    <s v="Affichage"/>
    <x v="0"/>
    <n v="10"/>
    <n v="10"/>
    <n v="0"/>
    <n v="1"/>
  </r>
  <r>
    <s v="Backoffice"/>
    <s v="Gestion Login"/>
    <s v="auth-state.js"/>
    <s v="fonctions etat setLoggedAdmin"/>
    <s v="Metier"/>
    <x v="0"/>
    <n v="5"/>
    <n v="5"/>
    <n v="0"/>
    <n v="1"/>
  </r>
  <r>
    <s v="Backoffice"/>
    <s v="Gestion Login"/>
    <s v="auth-api.js"/>
    <s v="checkLogin"/>
    <s v="Metier"/>
    <x v="0"/>
    <n v="5"/>
    <n v="5"/>
    <n v="0"/>
    <n v="1"/>
  </r>
  <r>
    <s v="Backoffice"/>
    <s v="Gestion Login"/>
    <s v="auth.vue"/>
    <s v="script de verification"/>
    <s v="Integration"/>
    <x v="0"/>
    <n v="10"/>
    <n v="10"/>
    <n v="0"/>
    <n v="1"/>
  </r>
  <r>
    <s v="Backoffice"/>
    <s v="Protections Pages"/>
    <s v="App.vue"/>
    <s v="Layouts separe FO ouBO"/>
    <s v="Affichage"/>
    <x v="0"/>
    <n v="15"/>
    <n v="15"/>
    <n v="0"/>
    <n v="1"/>
  </r>
  <r>
    <s v="Backoffice"/>
    <s v="Protections Pages"/>
    <s v="App.vue"/>
    <s v="mode FO ou BO"/>
    <s v="Metier"/>
    <x v="0"/>
    <n v="10"/>
    <n v="10"/>
    <n v="0"/>
    <n v="1"/>
  </r>
  <r>
    <s v="Backoffice"/>
    <s v="Protections Pages"/>
    <s v="App.vue"/>
    <s v="gestion emit pour liasons"/>
    <s v="Integration"/>
    <x v="0"/>
    <n v="15"/>
    <n v="15"/>
    <n v="0"/>
    <n v="1"/>
  </r>
  <r>
    <s v="Backoffice"/>
    <s v="Gestion Donne"/>
    <s v="reset.types.ts"/>
    <s v="type de module de system de reinitialisation"/>
    <s v="Metier"/>
    <x v="0"/>
    <n v="15"/>
    <n v="15"/>
    <n v="0"/>
    <n v="1"/>
  </r>
  <r>
    <s v="Backoffice"/>
    <s v="Gestion Donne"/>
    <s v="ResetReport.vue"/>
    <s v="Creation interface"/>
    <s v="Affichage"/>
    <x v="0"/>
    <n v="10"/>
    <n v="10"/>
    <n v="0"/>
    <n v="1"/>
  </r>
  <r>
    <s v="Backoffice"/>
    <s v="Gestion Donne"/>
    <s v="DataResetManager.vue"/>
    <s v="Creation interface"/>
    <s v="Affichage"/>
    <x v="0"/>
    <n v="10"/>
    <n v="10"/>
    <n v="0"/>
    <n v="1"/>
  </r>
  <r>
    <s v="Backoffice"/>
    <s v="Gestion Donne"/>
    <s v="useDataReset.ts"/>
    <s v="fonctions de reinitialisation"/>
    <s v="Metier"/>
    <x v="0"/>
    <n v="25"/>
    <n v="25"/>
    <n v="0"/>
    <n v="1"/>
  </r>
  <r>
    <s v="Backoffice"/>
    <s v="Gestion Donne"/>
    <s v="reset-modules.config.ts"/>
    <s v="liaison entre tables de reinitialisation"/>
    <s v="Integration"/>
    <x v="0"/>
    <n v="20"/>
    <n v="20"/>
    <n v="0"/>
    <n v="1"/>
  </r>
  <r>
    <s v="Backoffice"/>
    <s v="Gestion Import Product"/>
    <s v="ProductImport.service.ts"/>
    <s v="fonction calculatePrix Ht"/>
    <s v="Metier"/>
    <x v="0"/>
    <n v="15"/>
    <n v="15"/>
    <n v="0"/>
    <n v="1"/>
  </r>
  <r>
    <s v="Backoffice"/>
    <s v="Gestion Import Product"/>
    <s v="ProductImport.service.ts"/>
    <s v="fonction obtention group de taxe"/>
    <s v="Metier"/>
    <x v="0"/>
    <n v="20"/>
    <n v="20"/>
    <n v="0"/>
    <n v="1"/>
  </r>
  <r>
    <s v="Backoffice"/>
    <s v="Gestion Import Product"/>
    <s v="ProductImport.service.ts"/>
    <s v="fonction de build de xml de produit"/>
    <s v="Metier"/>
    <x v="0"/>
    <n v="20"/>
    <n v="20"/>
    <n v="0"/>
    <n v="1"/>
  </r>
  <r>
    <s v="Backoffice"/>
    <s v="Gestion Import Product"/>
    <s v="ProductImport.service.ts"/>
    <s v="fonction runProductImport"/>
    <s v="Metier"/>
    <x v="0"/>
    <n v="25"/>
    <n v="25"/>
    <n v="0"/>
    <n v="1"/>
  </r>
  <r>
    <s v="Backoffice"/>
    <s v="Gestion Import Product"/>
    <s v="ProductLoadCsv.ts"/>
    <s v="Chargement csv en data[]"/>
    <s v="Metier"/>
    <x v="0"/>
    <n v="20"/>
    <n v="20"/>
    <n v="0"/>
    <n v="1"/>
  </r>
  <r>
    <s v="Backoffice"/>
    <s v="Gestion Import Combination"/>
    <s v="CombinationImport.service.ts"/>
    <s v="fonction get dynamique de taux de tax"/>
    <s v="Metier"/>
    <x v="0"/>
    <n v="25"/>
    <n v="25"/>
    <n v="0"/>
    <n v="1"/>
  </r>
  <r>
    <s v="Backoffice"/>
    <s v="Gestion Import Combination"/>
    <s v="CombinationImport.service.ts"/>
    <s v="fonction de gestion de declinaisons"/>
    <s v="Metier"/>
    <x v="0"/>
    <n v="30"/>
    <n v="30"/>
    <n v="0"/>
    <n v="1"/>
  </r>
  <r>
    <s v="Backoffice"/>
    <s v="Gestion Import Combination"/>
    <s v="CombinationImport.service.ts"/>
    <s v="fonction setStock"/>
    <s v="Metier"/>
    <x v="0"/>
    <n v="10"/>
    <n v="10"/>
    <n v="0"/>
    <n v="1"/>
  </r>
  <r>
    <s v="Backoffice"/>
    <s v="Gestion Import Combination"/>
    <s v="CombinationImport.service.ts"/>
    <s v="fonction runCombinationImport"/>
    <s v="Metier"/>
    <x v="0"/>
    <n v="30"/>
    <n v="30"/>
    <n v="0"/>
    <n v="1"/>
  </r>
  <r>
    <s v="Backoffice"/>
    <s v="Gestion Import Combination"/>
    <s v="CombinationLoadCsv.ts"/>
    <s v="Chargement csv en data[]"/>
    <s v="Metier"/>
    <x v="0"/>
    <n v="30"/>
    <n v="30"/>
    <n v="0"/>
    <n v="1"/>
  </r>
  <r>
    <s v="Backoffice"/>
    <s v="Gestion Import Order"/>
    <s v="OrderImport.ts"/>
    <s v="fonction gestion customer: find /create"/>
    <s v="Metier"/>
    <x v="0"/>
    <n v="15"/>
    <n v="15"/>
    <n v="0"/>
    <n v="1"/>
  </r>
  <r>
    <s v="Backoffice"/>
    <s v="Gestion Import Order"/>
    <s v="OrderImport.ts"/>
    <s v="fonction mapping Etat Order et Payent"/>
    <s v="Metier"/>
    <x v="0"/>
    <n v="30"/>
    <n v="30"/>
    <n v="0"/>
    <n v="1"/>
  </r>
  <r>
    <s v="Backoffice"/>
    <s v="Gestion Import Order"/>
    <s v="OrderImport.ts"/>
    <s v="fonction gestion address"/>
    <s v="Metier"/>
    <x v="0"/>
    <n v="10"/>
    <n v="10"/>
    <n v="0"/>
    <n v="1"/>
  </r>
  <r>
    <s v="Backoffice"/>
    <s v="Gestion Import Order"/>
    <s v="OrderImport.service.ts"/>
    <s v="fonction gestion panier find/create"/>
    <s v="Metier"/>
    <x v="0"/>
    <n v="25"/>
    <n v="25"/>
    <n v="0"/>
    <n v="1"/>
  </r>
  <r>
    <s v="Backoffice"/>
    <s v="Gestion Import Order"/>
    <s v="OrderImport.service.ts"/>
    <s v="fonction payement et ajout dans panier"/>
    <s v="Metier"/>
    <x v="0"/>
    <n v="45"/>
    <n v="45"/>
    <n v="0"/>
    <n v="1"/>
  </r>
  <r>
    <s v="Backoffice"/>
    <s v="Gestion Import Order"/>
    <s v="OrderImport.service.ts"/>
    <s v="fonction creation commande, et maj"/>
    <s v="Metier"/>
    <x v="0"/>
    <n v="45"/>
    <n v="45"/>
    <n v="0"/>
    <n v="1"/>
  </r>
  <r>
    <s v="Backoffice"/>
    <s v="Gestion Import Order"/>
    <s v="OrderImport.service.ts"/>
    <s v="fonction runOrderImport"/>
    <s v="Metier"/>
    <x v="0"/>
    <n v="30"/>
    <n v="30"/>
    <n v="0"/>
    <n v="1"/>
  </r>
  <r>
    <s v="Backoffice"/>
    <s v="Gestion Import Order"/>
    <s v="OrderLoadCsv.ts"/>
    <s v="Chargement csv en data[]"/>
    <s v="Integration"/>
    <x v="0"/>
    <n v="45"/>
    <n v="45"/>
    <n v="0"/>
    <n v="1"/>
  </r>
  <r>
    <s v="Backoffice"/>
    <s v="Gestion Import Image"/>
    <s v="correspondanceImage.ts"/>
    <s v="cherche nom_fichier % ref de produit"/>
    <s v="Integration"/>
    <x v="0"/>
    <n v="10"/>
    <n v="10"/>
    <n v="0"/>
    <n v="1"/>
  </r>
  <r>
    <s v="Backoffice"/>
    <s v="Gestion Import Image"/>
    <s v="ImageImport.service.ts"/>
    <s v="dezip et mise a jour image dans prestashop"/>
    <s v="Integration"/>
    <x v="0"/>
    <n v="15"/>
    <n v="15"/>
    <n v="0"/>
    <n v="1"/>
  </r>
  <r>
    <s v="Backoffice"/>
    <s v="Gestion Import"/>
    <s v="Import.vue"/>
    <s v="Creation interface"/>
    <s v="Affichage"/>
    <x v="0"/>
    <n v="15"/>
    <n v="15"/>
    <n v="0"/>
    <n v="1"/>
  </r>
  <r>
    <s v="Backoffice"/>
    <s v="Gestion Import"/>
    <s v="Import.vue"/>
    <s v="Script d'integration"/>
    <s v="Integration"/>
    <x v="0"/>
    <n v="25"/>
    <n v="25"/>
    <n v="0"/>
    <n v="1"/>
  </r>
  <r>
    <s v="Backoffice"/>
    <s v="Gestion Commande"/>
    <s v="OrderList"/>
    <s v="Creation interface"/>
    <s v="Affichage"/>
    <x v="0"/>
    <n v="30"/>
    <n v="30"/>
    <n v="0"/>
    <n v="1"/>
  </r>
  <r>
    <s v="Backoffice"/>
    <s v="Gestion Commande"/>
    <s v="product-api.js"/>
    <s v="Modification Etat , psUpdateOrderState"/>
    <s v="Metier"/>
    <x v="0"/>
    <n v="20"/>
    <n v="20"/>
    <n v="0"/>
    <n v="1"/>
  </r>
  <r>
    <s v="Backoffice"/>
    <s v="Gestion Commande"/>
    <s v="OrderList "/>
    <s v="Script d'integration"/>
    <s v="Integration"/>
    <x v="0"/>
    <n v="15"/>
    <n v="15"/>
    <n v="0"/>
    <n v="1"/>
  </r>
  <r>
    <s v="FrontOffice"/>
    <s v="Accueil,gestion produits"/>
    <s v="Home.vue"/>
    <s v="Creation interface"/>
    <s v="Affichage"/>
    <x v="0"/>
    <n v="15"/>
    <n v="15"/>
    <n v="0"/>
    <n v="1"/>
  </r>
  <r>
    <s v="FrontOffice"/>
    <s v="Accueil,gestion produits"/>
    <s v="prestashop-api.js"/>
    <s v="fonctions de liste des products"/>
    <s v="Metier"/>
    <x v="0"/>
    <n v="15"/>
    <n v="15"/>
    <n v="0"/>
    <n v="1"/>
  </r>
  <r>
    <s v="FrontOffice"/>
    <s v="Accueil,gestion produits"/>
    <s v="Home.vue"/>
    <s v="Script d'integration"/>
    <s v="Integration"/>
    <x v="0"/>
    <n v="20"/>
    <n v="20"/>
    <n v="0"/>
    <n v="1"/>
  </r>
  <r>
    <s v="FrontOffice"/>
    <s v="Accueil,gestion produits"/>
    <s v="ProductDetail.vue"/>
    <s v="Creation interface"/>
    <s v="Affichage"/>
    <x v="0"/>
    <n v="25"/>
    <n v="25"/>
    <n v="0"/>
    <n v="1"/>
  </r>
  <r>
    <s v="FrontOffice"/>
    <s v="Accueil,gestion produits"/>
    <s v="product-api.js"/>
    <s v="fonctions product_feature_values"/>
    <s v="Metier"/>
    <x v="0"/>
    <n v="25"/>
    <n v="25"/>
    <n v="0"/>
    <n v="1"/>
  </r>
  <r>
    <s v="FrontOffice"/>
    <s v="Accueil,gestion produits"/>
    <s v="product-api.js"/>
    <s v="fonctions product_option_values"/>
    <s v="Metier"/>
    <x v="0"/>
    <n v="30"/>
    <n v="30"/>
    <n v="0"/>
    <n v="1"/>
  </r>
  <r>
    <s v="FrontOffice"/>
    <s v="Accueil,gestion produits"/>
    <s v="product-api.js"/>
    <s v="fonctions combinations"/>
    <s v="Metier"/>
    <x v="0"/>
    <n v="30"/>
    <n v="30"/>
    <n v="0"/>
    <n v="1"/>
  </r>
  <r>
    <s v="FrontOffice"/>
    <s v="Accueil,gestion produits"/>
    <s v="product-api.js"/>
    <s v="fonctions psGetProductFullDetails"/>
    <s v="Metier"/>
    <x v="0"/>
    <n v="25"/>
    <n v="25"/>
    <n v="0"/>
    <n v="1"/>
  </r>
  <r>
    <s v="FrontOffice"/>
    <s v="Accueil,gestion produits"/>
    <s v="ProductDetail.vue"/>
    <s v="Script d'integration"/>
    <s v="Integration"/>
    <x v="0"/>
    <n v="25"/>
    <n v="25"/>
    <n v="0"/>
    <n v="1"/>
  </r>
  <r>
    <s v="FrontOffice"/>
    <s v="Gestion Panier"/>
    <s v="Cart.vue"/>
    <s v="Creation interface"/>
    <s v="Affichage"/>
    <x v="0"/>
    <n v="30"/>
    <n v="30"/>
    <n v="0"/>
    <n v="1"/>
  </r>
  <r>
    <s v="FrontOffice"/>
    <s v="Gestion Panier"/>
    <s v="product-api.js"/>
    <s v="fonction get cle de panier"/>
    <s v="Metier"/>
    <x v="0"/>
    <n v="15"/>
    <n v="15"/>
    <n v="0"/>
    <n v="1"/>
  </r>
  <r>
    <s v="FrontOffice"/>
    <s v="Gestion Panier"/>
    <s v="product-api.js"/>
    <s v="fonction gestion panier find/create"/>
    <s v="Metier"/>
    <x v="0"/>
    <n v="25"/>
    <n v="25"/>
    <n v="0"/>
    <n v="1"/>
  </r>
  <r>
    <s v="FrontOffice"/>
    <s v="Gestion Achat"/>
    <s v="product-api.js"/>
    <s v="fonction creation commande, et maj"/>
    <s v="Metier"/>
    <x v="0"/>
    <n v="45"/>
    <n v="45"/>
    <n v="0"/>
    <n v="1"/>
  </r>
  <r>
    <s v="FrontOffice"/>
    <s v="Gestion Achat"/>
    <s v="Cart.vue"/>
    <s v="Script d'integration"/>
    <s v="Integration"/>
    <x v="0"/>
    <n v="20"/>
    <n v="20"/>
    <n v="0"/>
    <n v="1"/>
  </r>
  <r>
    <s v="FrontOffice"/>
    <s v="Gestion Commande"/>
    <s v="OrderList.vue"/>
    <s v="Creation interface"/>
    <s v="Affichage"/>
    <x v="0"/>
    <n v="15"/>
    <n v="15"/>
    <n v="0"/>
    <n v="1"/>
  </r>
  <r>
    <s v="FrontOffice"/>
    <s v="Gestion Commande"/>
    <s v="OrderList.vue"/>
    <s v="Script d'integration chargement Etat"/>
    <s v="Integration"/>
    <x v="0"/>
    <n v="30"/>
    <n v="30"/>
    <n v="0"/>
    <n v="1"/>
  </r>
  <r>
    <s v="Backoffice"/>
    <s v="Etat Commande"/>
    <s v="OrderList.vue"/>
    <s v="Creation interface"/>
    <s v="Affichage"/>
    <x v="0"/>
    <n v="15"/>
    <n v="15"/>
    <n v="0"/>
    <n v="1"/>
  </r>
  <r>
    <s v="Backoffice"/>
    <s v="Etat Commande"/>
    <s v="OrderList.vue"/>
    <s v="Script d'integration"/>
    <s v="Integration"/>
    <x v="0"/>
    <n v="20"/>
    <n v="20"/>
    <n v="0"/>
    <n v="1"/>
  </r>
  <r>
    <s v="Backoffice"/>
    <s v="Etat Commande"/>
    <s v="product-api.js"/>
    <s v="Integration de panier ey mise a jour Etat Commande"/>
    <s v="Metier"/>
    <x v="0"/>
    <n v="45"/>
    <n v="45"/>
    <n v="0"/>
    <n v="1"/>
  </r>
  <r>
    <s v="Backoffice"/>
    <s v="Tableau de bord"/>
    <s v="Home.vue"/>
    <s v="Creation interface"/>
    <s v="Affichage"/>
    <x v="0"/>
    <n v="20"/>
    <n v="20"/>
    <n v="0"/>
    <n v="1"/>
  </r>
  <r>
    <s v="Backoffice"/>
    <s v="Tableau de bord"/>
    <s v="product-api.js"/>
    <s v="load des commandes by date et calcul des amount "/>
    <s v="Metier"/>
    <x v="0"/>
    <n v="40"/>
    <n v="40"/>
    <n v="0"/>
    <n v="1"/>
  </r>
  <r>
    <s v="Backoffice"/>
    <s v="Tableau de bord"/>
    <s v="Home.vue"/>
    <s v="Script d'integration"/>
    <s v="Integration"/>
    <x v="0"/>
    <n v="20"/>
    <n v="20"/>
    <n v="0"/>
    <n v="1"/>
  </r>
  <r>
    <s v="FrontOffice"/>
    <s v="Gestion Route"/>
    <s v="App.vue"/>
    <s v="mise a jour de currentPage pour choix utilisateur"/>
    <s v="Metier"/>
    <x v="0"/>
    <n v="20"/>
    <n v="20"/>
    <n v="0"/>
    <n v="1"/>
  </r>
  <r>
    <s v="FrontOffice"/>
    <s v="Gestion Route"/>
    <s v="App.vue"/>
    <s v="gestion et protection pages sans authentification"/>
    <s v="Metier"/>
    <x v="0"/>
    <n v="15"/>
    <n v="15"/>
    <n v="0"/>
    <n v="1"/>
  </r>
  <r>
    <s v="FrontOffice"/>
    <s v="Gestion Utilisateur"/>
    <s v="UserPick.vue"/>
    <s v="Creation interface"/>
    <s v="Affichage"/>
    <x v="0"/>
    <n v="20"/>
    <n v="20"/>
    <n v="0"/>
    <n v="1"/>
  </r>
  <r>
    <s v="FrontOffice"/>
    <s v="Gestion Utilisateur"/>
    <s v="auth-api.js"/>
    <s v="Get tous les comptes utilisateurs"/>
    <s v="Metier"/>
    <x v="0"/>
    <n v="10"/>
    <n v="10"/>
    <n v="0"/>
    <n v="1"/>
  </r>
  <r>
    <s v="FrontOffice"/>
    <s v="Gestion Utilisateur"/>
    <s v="auth-api.js"/>
    <s v="Fontion de login dynamique selon user choisies"/>
    <s v="Metier"/>
    <x v="0"/>
    <n v="15"/>
    <n v="15"/>
    <n v="0"/>
    <n v="1"/>
  </r>
  <r>
    <s v="FrontOffice"/>
    <s v="Gestion Utilisateur"/>
    <s v="UserPick.vue"/>
    <s v="Script d'integration"/>
    <s v="Integration"/>
    <x v="0"/>
    <n v="15"/>
    <n v="15"/>
    <n v="0"/>
    <n v="1"/>
  </r>
  <r>
    <s v="FrontOffice"/>
    <s v="Gestion Produit"/>
    <s v="Home.vue"/>
    <s v="Mise a jour interface"/>
    <s v="Affichage"/>
    <x v="0"/>
    <n v="15"/>
    <n v="15"/>
    <n v="0"/>
    <n v="1"/>
  </r>
  <r>
    <s v="FrontOffice"/>
    <s v="Gestion Produit"/>
    <s v="product-api.js"/>
    <s v="fonction de gestion de badge selon date availability"/>
    <s v="Metier"/>
    <x v="0"/>
    <n v="10"/>
    <n v="10"/>
    <n v="0"/>
    <n v="1"/>
  </r>
  <r>
    <s v="FrontOffice"/>
    <s v="Gestion Produit"/>
    <s v="Home.vue"/>
    <s v="Script d'integration"/>
    <s v="Integration"/>
    <x v="0"/>
    <n v="15"/>
    <n v="15"/>
    <n v="0"/>
    <n v="1"/>
  </r>
  <r>
    <s v="FrontOffice"/>
    <s v="Gestion Produit"/>
    <s v="Home.vue"/>
    <s v="Mise a jour interface ajout filtre"/>
    <s v="Affichage"/>
    <x v="0"/>
    <n v="15"/>
    <n v="15"/>
    <n v="0"/>
    <n v="1"/>
  </r>
  <r>
    <s v="FrontOffice"/>
    <s v="Gestion Produit"/>
    <s v="Home.vue"/>
    <s v="fonction filtre de produits selon criteres"/>
    <s v="Metier"/>
    <x v="0"/>
    <n v="20"/>
    <n v="20"/>
    <n v="0"/>
    <n v="1"/>
  </r>
  <r>
    <s v="Backoffice"/>
    <s v="Gestion Import Product"/>
    <s v="ProductLoadCsv.ts"/>
    <s v="Fonction de gestion d'erreur  de fichier"/>
    <s v="Metier"/>
    <x v="0"/>
    <n v="10"/>
    <n v="10"/>
    <n v="0"/>
    <n v="1"/>
  </r>
  <r>
    <s v="Backoffice"/>
    <s v="Gestion Import Combination"/>
    <s v="CombinationLoadCsv.ts"/>
    <s v="Fonction de gestion d'erreur  de fichier"/>
    <s v="Metier"/>
    <x v="0"/>
    <n v="10"/>
    <n v="10"/>
    <n v="0"/>
    <n v="1"/>
  </r>
  <r>
    <s v="Backoffice"/>
    <s v="Gestion Import Order"/>
    <s v="OrderLoadCsv.ts"/>
    <s v="Fonction de gestion d'erreur  de fichier"/>
    <s v="Metier"/>
    <x v="0"/>
    <n v="10"/>
    <n v="10"/>
    <n v="0"/>
    <n v="1"/>
  </r>
  <r>
    <s v="Backoffice"/>
    <s v="Gestion Import"/>
    <s v="Import.vue"/>
    <s v="Mise a jour d'interface pour les logs"/>
    <s v="Affichage"/>
    <x v="0"/>
    <n v="15"/>
    <n v="15"/>
    <n v="0"/>
    <n v="1"/>
  </r>
  <r>
    <s v="FrontOffice"/>
    <s v="Gestion navigation anonym"/>
    <s v="FoUserPick.vue"/>
    <s v="Champ navigation anonym ou guest"/>
    <s v="Interface"/>
    <x v="0"/>
    <n v="15"/>
    <n v="15"/>
    <n v="0"/>
    <n v="1"/>
  </r>
  <r>
    <s v="FrontOffice"/>
    <s v="Gestion navigation anonym"/>
    <s v="App.vue"/>
    <s v="Limit du navigation guest jusqua ce que validation achat"/>
    <s v="Metier"/>
    <x v="0"/>
    <n v="25"/>
    <n v="25"/>
    <n v="0"/>
    <n v="1"/>
  </r>
  <r>
    <s v="FrontOffice"/>
    <s v="Gestion navigation anonym"/>
    <s v="Cart.vue"/>
    <s v="Creation module d'authentification au moment validation achat"/>
    <s v="Affichage"/>
    <x v="0"/>
    <n v="30"/>
    <n v="30"/>
    <n v="0"/>
    <n v="1"/>
  </r>
  <r>
    <s v="FrontOffice"/>
    <s v="Gestion navigation anonym"/>
    <s v="Cart.vue"/>
    <s v="Integration  authentification avec compte ou creation "/>
    <s v="Integration"/>
    <x v="0"/>
    <n v="40"/>
    <n v="40"/>
    <n v="0"/>
    <n v="1"/>
  </r>
  <r>
    <s v="FrontOffice"/>
    <s v="Gestion navigation anonym"/>
    <s v="Cart.vue"/>
    <s v="Chargement des paniers si authentifie avec compte déjà present"/>
    <s v="Integration"/>
    <x v="0"/>
    <n v="45"/>
    <n v="45"/>
    <n v="0"/>
    <n v="1"/>
  </r>
  <r>
    <s v="FrontOffice"/>
    <s v="Gestion navigation anonym"/>
    <s v="Cart.vue"/>
    <s v="Finalisation du commande "/>
    <s v="Integration"/>
    <x v="0"/>
    <n v="30"/>
    <n v="30"/>
    <n v="0"/>
    <n v="1"/>
  </r>
  <r>
    <s v="Backoffice"/>
    <s v="Gestion de stock"/>
    <s v="StockManager.vue"/>
    <s v="Creation interface"/>
    <s v="Affichage"/>
    <x v="0"/>
    <n v="20"/>
    <n v="20"/>
    <n v="0"/>
    <n v="1"/>
  </r>
  <r>
    <s v="Existing App"/>
    <s v="Gestion de stock"/>
    <s v="StockDelta.php"/>
    <s v="Creation Entite du module de stock et endpoint"/>
    <s v="Metier"/>
    <x v="0"/>
    <n v="20"/>
    <n v="20"/>
    <n v="0"/>
    <n v="1"/>
  </r>
  <r>
    <s v="Existing App"/>
    <s v="Gestion de stock"/>
    <s v="ws_stock_update.php"/>
    <s v="Creation du mouvement de stock endpoint"/>
    <s v="Metier"/>
    <x v="0"/>
    <n v="15"/>
    <n v="15"/>
    <n v="0"/>
    <n v="1"/>
  </r>
  <r>
    <s v="Existing App"/>
    <s v="Gestion de stock"/>
    <s v="Interface graphique"/>
    <s v="Activation du module et cle ws stock update via delta"/>
    <s v="Metier"/>
    <x v="0"/>
    <n v="2"/>
    <n v="2"/>
    <n v="0"/>
    <n v="1"/>
  </r>
  <r>
    <s v="Backoffice"/>
    <s v="Gestion de stock"/>
    <s v="stock-api.js"/>
    <s v="Appelle de l'endpoint mise a jour stockAvailable"/>
    <s v="Metier"/>
    <x v="0"/>
    <n v="15"/>
    <n v="15"/>
    <n v="0"/>
    <n v="1"/>
  </r>
  <r>
    <s v="Backoffice"/>
    <s v="Gestion de stock"/>
    <s v="stock-api.js"/>
    <s v="Appelle de l'endpoint mise a jour stockByDelta"/>
    <s v="Metier"/>
    <x v="0"/>
    <n v="15"/>
    <n v="15"/>
    <n v="0"/>
    <n v="1"/>
  </r>
  <r>
    <s v="Backoffice"/>
    <s v="Gestion de stock"/>
    <s v="stock-api.js"/>
    <s v="Fonction get stock mvt a partir des commandes"/>
    <s v="Metier"/>
    <x v="0"/>
    <n v="30"/>
    <n v="30"/>
    <n v="0"/>
    <n v="1"/>
  </r>
  <r>
    <s v="Backoffice"/>
    <s v="Gestion de stock"/>
    <s v="StockManager.vue"/>
    <s v="chargement des stock et maj quantite"/>
    <s v="Integration"/>
    <x v="0"/>
    <n v="30"/>
    <n v="30"/>
    <n v="0"/>
    <n v="1"/>
  </r>
  <r>
    <s v="Backoffice"/>
    <s v="Gestion de stock"/>
    <s v="StockManager.vue"/>
    <s v="Ajout option voir evolution et creation modal"/>
    <s v="Affichage"/>
    <x v="0"/>
    <n v="20"/>
    <n v="20"/>
    <n v="0"/>
    <n v="1"/>
  </r>
  <r>
    <s v="Backoffice"/>
    <s v="Gestion de stock"/>
    <s v="StockManager.vue"/>
    <s v="Appelle  get stock_deltas et psGetStockMovementsFromOrders"/>
    <s v="Integration"/>
    <x v="0"/>
    <n v="30"/>
    <n v="30"/>
    <n v="0"/>
    <n v="1"/>
  </r>
  <r>
    <s v="FrontOffice"/>
    <s v="Gestion de stock"/>
    <s v="ProductDetail.vue"/>
    <s v="Ajout champ information stock disponible"/>
    <s v="Affichage"/>
    <x v="0"/>
    <n v="5"/>
    <n v="5"/>
    <n v="0"/>
    <n v="1"/>
  </r>
  <r>
    <s v="FrontOffice"/>
    <s v="Gestion de stock"/>
    <s v="ProductDetail.vue"/>
    <s v="Appelle fonction stock_availables"/>
    <s v="Integration"/>
    <x v="0"/>
    <n v="15"/>
    <n v="15"/>
    <n v="0"/>
    <n v="1"/>
  </r>
  <r>
    <s v="Existing App"/>
    <s v="Gestion de stock"/>
    <s v="ws_stock_update.php"/>
    <s v="Creation du nouveau module qui fonctionne"/>
    <s v="Metier"/>
    <x v="0"/>
    <n v="20"/>
    <n v="20"/>
    <n v="0"/>
    <n v="1"/>
  </r>
  <r>
    <s v="Backoffice"/>
    <s v="Gestion de stock"/>
    <s v="product-api.js"/>
    <s v="Creation nouveau mise a jour stock qui fonctionne"/>
    <s v="Metier"/>
    <x v="0"/>
    <n v="10"/>
    <n v="10"/>
    <n v="0"/>
    <n v="1"/>
  </r>
  <r>
    <s v="Backoffice"/>
    <s v="Gestion de stock"/>
    <s v="OrderImport.ts"/>
    <s v="mise a jour etat livre + mvt stock auto"/>
    <s v="Metier"/>
    <x v="0"/>
    <n v="10"/>
    <n v="10"/>
    <n v="0"/>
    <n v="1"/>
  </r>
  <r>
    <s v="Backoffice"/>
    <s v="Gestion de stock"/>
    <s v="OrderList.php"/>
    <s v="mise a jour etat livre + mvt stock auto"/>
    <s v="Metier"/>
    <x v="0"/>
    <n v="15"/>
    <n v="15"/>
    <n v="0"/>
    <n v="1"/>
  </r>
  <r>
    <s v="Backoffice"/>
    <s v="Gestion de stock"/>
    <s v="OrderList.php"/>
    <s v="Ajout button Livré"/>
    <s v="Affichage"/>
    <x v="0"/>
    <n v="10"/>
    <n v="10"/>
    <n v="0"/>
    <n v="1"/>
  </r>
  <r>
    <s v="Backoffice"/>
    <s v="Statistique"/>
    <s v="Stat.vue"/>
    <s v="Creation d'interface montant vente achat et benefice"/>
    <s v="Affichage"/>
    <x v="0"/>
    <n v="15"/>
    <n v="15"/>
    <n v="0"/>
    <n v="1"/>
  </r>
  <r>
    <s v="Backoffice"/>
    <s v="Statistique"/>
    <s v="Stat.vue"/>
    <s v="Scipt d'integration calcul Statistique"/>
    <s v="Metier"/>
    <x v="0"/>
    <n v="25"/>
    <n v="25"/>
    <n v="0"/>
    <n v="1"/>
  </r>
  <r>
    <s v="Backoffice"/>
    <s v="Statistique"/>
    <s v="Stat.vue"/>
    <s v="Creation d'interface statistique tableau par categorie"/>
    <s v="Affichage"/>
    <x v="0"/>
    <n v="10"/>
    <n v="10"/>
    <n v="0"/>
    <n v="1"/>
  </r>
  <r>
    <s v="Backoffice"/>
    <s v="Statistique"/>
    <s v="Stat.vue"/>
    <s v="Scipt d'integration tableau par categorie"/>
    <s v="Metier"/>
    <x v="0"/>
    <n v="25"/>
    <n v="25"/>
    <n v="0"/>
    <n v="1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16">
        <item x="0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4"/>
        <item m="1" x="12"/>
        <item m="1" x="11"/>
        <item m="1" x="13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B4" sqref="B4"/>
    </sheetView>
  </sheetViews>
  <sheetFormatPr defaultColWidth="12.5703125" defaultRowHeight="15.75" customHeight="1"/>
  <sheetData>
    <row r="1" spans="1:2">
      <c r="A1" s="1" t="s">
        <v>35</v>
      </c>
      <c r="B1" s="1" t="s">
        <v>0</v>
      </c>
    </row>
    <row r="2" spans="1:2">
      <c r="A2" s="1" t="s">
        <v>1</v>
      </c>
      <c r="B2" s="1" t="s">
        <v>2</v>
      </c>
    </row>
    <row r="3" spans="1:2">
      <c r="A3" s="1" t="s">
        <v>3</v>
      </c>
      <c r="B3" s="1" t="s">
        <v>4</v>
      </c>
    </row>
    <row r="4" spans="1:2">
      <c r="A4" s="1" t="s">
        <v>5</v>
      </c>
      <c r="B4" s="1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102"/>
  <sheetViews>
    <sheetView topLeftCell="A70" zoomScaleNormal="100" workbookViewId="0">
      <selection activeCell="G91" sqref="G91:G102"/>
    </sheetView>
  </sheetViews>
  <sheetFormatPr defaultColWidth="12.5703125" defaultRowHeight="15.75" customHeight="1"/>
  <cols>
    <col min="1" max="1" width="5.85546875" customWidth="1"/>
    <col min="2" max="2" width="19" customWidth="1"/>
    <col min="3" max="3" width="27.140625" customWidth="1"/>
    <col min="4" max="4" width="21.5703125" customWidth="1"/>
    <col min="5" max="5" width="55.7109375" customWidth="1"/>
  </cols>
  <sheetData>
    <row r="1" spans="1:11" ht="15.75" customHeight="1">
      <c r="A1" s="2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4" t="s">
        <v>11</v>
      </c>
      <c r="G1" s="4" t="s">
        <v>12</v>
      </c>
      <c r="H1" s="4" t="s">
        <v>13</v>
      </c>
      <c r="I1" s="4" t="s">
        <v>14</v>
      </c>
      <c r="J1" s="4" t="s">
        <v>15</v>
      </c>
      <c r="K1" s="4" t="s">
        <v>16</v>
      </c>
    </row>
    <row r="2" spans="1:11" ht="12.75">
      <c r="A2" s="5">
        <v>1</v>
      </c>
      <c r="B2" s="5" t="s">
        <v>17</v>
      </c>
      <c r="C2" s="6" t="s">
        <v>18</v>
      </c>
      <c r="D2" s="28" t="s">
        <v>62</v>
      </c>
      <c r="E2" s="7" t="s">
        <v>34</v>
      </c>
      <c r="F2" s="7" t="s">
        <v>19</v>
      </c>
      <c r="G2" s="28" t="s">
        <v>35</v>
      </c>
      <c r="H2" s="6">
        <v>10</v>
      </c>
      <c r="I2" s="6">
        <f>H2</f>
        <v>10</v>
      </c>
      <c r="J2" s="8">
        <f t="shared" ref="J2:J4" si="0">H2-I2</f>
        <v>0</v>
      </c>
      <c r="K2" s="9">
        <f>(I2/(I2+J2))</f>
        <v>1</v>
      </c>
    </row>
    <row r="3" spans="1:11" ht="12.75">
      <c r="A3" s="5">
        <v>2</v>
      </c>
      <c r="B3" s="5" t="s">
        <v>17</v>
      </c>
      <c r="C3" s="7" t="s">
        <v>18</v>
      </c>
      <c r="D3" s="28" t="s">
        <v>63</v>
      </c>
      <c r="E3" s="7" t="s">
        <v>58</v>
      </c>
      <c r="F3" s="7" t="s">
        <v>20</v>
      </c>
      <c r="G3" s="28" t="s">
        <v>35</v>
      </c>
      <c r="H3" s="6">
        <v>5</v>
      </c>
      <c r="I3" s="6">
        <f t="shared" ref="I3:I66" si="1">H3</f>
        <v>5</v>
      </c>
      <c r="J3" s="8">
        <f t="shared" si="0"/>
        <v>0</v>
      </c>
      <c r="K3" s="9">
        <f t="shared" ref="K3:K4" si="2">(I3/(I3+J3))</f>
        <v>1</v>
      </c>
    </row>
    <row r="4" spans="1:11" ht="12.75">
      <c r="A4" s="5">
        <v>3</v>
      </c>
      <c r="B4" s="5" t="s">
        <v>17</v>
      </c>
      <c r="C4" s="7" t="s">
        <v>18</v>
      </c>
      <c r="D4" s="28" t="s">
        <v>122</v>
      </c>
      <c r="E4" s="7" t="s">
        <v>21</v>
      </c>
      <c r="F4" s="7" t="s">
        <v>20</v>
      </c>
      <c r="G4" s="28" t="s">
        <v>35</v>
      </c>
      <c r="H4" s="6">
        <v>5</v>
      </c>
      <c r="I4" s="6">
        <f t="shared" si="1"/>
        <v>5</v>
      </c>
      <c r="J4" s="8">
        <f t="shared" si="0"/>
        <v>0</v>
      </c>
      <c r="K4" s="9">
        <f t="shared" si="2"/>
        <v>1</v>
      </c>
    </row>
    <row r="5" spans="1:11" ht="12.75">
      <c r="A5" s="5">
        <v>4</v>
      </c>
      <c r="B5" s="5" t="s">
        <v>17</v>
      </c>
      <c r="C5" s="7" t="s">
        <v>18</v>
      </c>
      <c r="D5" s="28" t="s">
        <v>62</v>
      </c>
      <c r="E5" s="7" t="s">
        <v>36</v>
      </c>
      <c r="F5" s="7" t="s">
        <v>22</v>
      </c>
      <c r="G5" s="28" t="s">
        <v>35</v>
      </c>
      <c r="H5" s="6">
        <v>10</v>
      </c>
      <c r="I5" s="6">
        <f t="shared" si="1"/>
        <v>10</v>
      </c>
      <c r="J5" s="8">
        <f>H5-I5</f>
        <v>0</v>
      </c>
      <c r="K5" s="9">
        <f>(I5/(I5+J5))</f>
        <v>1</v>
      </c>
    </row>
    <row r="6" spans="1:11" ht="12.75">
      <c r="A6" s="5">
        <v>5</v>
      </c>
      <c r="B6" s="5" t="s">
        <v>17</v>
      </c>
      <c r="C6" s="7" t="s">
        <v>37</v>
      </c>
      <c r="D6" s="28" t="s">
        <v>65</v>
      </c>
      <c r="E6" s="7" t="s">
        <v>39</v>
      </c>
      <c r="F6" s="7" t="s">
        <v>19</v>
      </c>
      <c r="G6" s="28" t="s">
        <v>35</v>
      </c>
      <c r="H6" s="6">
        <v>15</v>
      </c>
      <c r="I6" s="6">
        <f t="shared" si="1"/>
        <v>15</v>
      </c>
      <c r="J6" s="8">
        <f t="shared" ref="J6:J14" si="3">H6-I6</f>
        <v>0</v>
      </c>
      <c r="K6" s="9">
        <f t="shared" ref="K6:K48" si="4">(I6/(I6+J6))</f>
        <v>1</v>
      </c>
    </row>
    <row r="7" spans="1:11" ht="12.75">
      <c r="A7" s="5">
        <v>6</v>
      </c>
      <c r="B7" s="5" t="s">
        <v>17</v>
      </c>
      <c r="C7" s="7" t="s">
        <v>37</v>
      </c>
      <c r="D7" s="28" t="s">
        <v>65</v>
      </c>
      <c r="E7" s="7" t="s">
        <v>38</v>
      </c>
      <c r="F7" s="7" t="s">
        <v>20</v>
      </c>
      <c r="G7" s="28" t="s">
        <v>35</v>
      </c>
      <c r="H7" s="6">
        <v>10</v>
      </c>
      <c r="I7" s="6">
        <f t="shared" si="1"/>
        <v>10</v>
      </c>
      <c r="J7" s="8">
        <f t="shared" si="3"/>
        <v>0</v>
      </c>
      <c r="K7" s="9">
        <f t="shared" si="4"/>
        <v>1</v>
      </c>
    </row>
    <row r="8" spans="1:11" ht="12.75">
      <c r="A8" s="5">
        <v>7</v>
      </c>
      <c r="B8" s="5" t="s">
        <v>17</v>
      </c>
      <c r="C8" s="7" t="s">
        <v>37</v>
      </c>
      <c r="D8" s="28" t="s">
        <v>65</v>
      </c>
      <c r="E8" s="7" t="s">
        <v>59</v>
      </c>
      <c r="F8" s="7" t="s">
        <v>22</v>
      </c>
      <c r="G8" s="28" t="s">
        <v>35</v>
      </c>
      <c r="H8" s="6">
        <v>15</v>
      </c>
      <c r="I8" s="6">
        <f t="shared" si="1"/>
        <v>15</v>
      </c>
      <c r="J8" s="8">
        <f t="shared" ref="J8:J10" si="5">H8-I8</f>
        <v>0</v>
      </c>
      <c r="K8" s="9">
        <f t="shared" ref="K8:K10" si="6">(I8/(I8+J8))</f>
        <v>1</v>
      </c>
    </row>
    <row r="9" spans="1:11" ht="12.75">
      <c r="A9" s="5">
        <v>8</v>
      </c>
      <c r="B9" s="5" t="s">
        <v>17</v>
      </c>
      <c r="C9" s="7" t="s">
        <v>40</v>
      </c>
      <c r="D9" s="28" t="s">
        <v>60</v>
      </c>
      <c r="E9" s="7" t="s">
        <v>61</v>
      </c>
      <c r="F9" s="7" t="s">
        <v>20</v>
      </c>
      <c r="G9" s="28" t="s">
        <v>35</v>
      </c>
      <c r="H9" s="6">
        <v>15</v>
      </c>
      <c r="I9" s="6">
        <f t="shared" si="1"/>
        <v>15</v>
      </c>
      <c r="J9" s="8">
        <f t="shared" si="5"/>
        <v>0</v>
      </c>
      <c r="K9" s="9">
        <f t="shared" si="6"/>
        <v>1</v>
      </c>
    </row>
    <row r="10" spans="1:11" ht="12.75">
      <c r="A10" s="5">
        <v>9</v>
      </c>
      <c r="B10" s="5" t="s">
        <v>17</v>
      </c>
      <c r="C10" s="7" t="s">
        <v>40</v>
      </c>
      <c r="D10" s="28" t="s">
        <v>75</v>
      </c>
      <c r="E10" s="7" t="s">
        <v>34</v>
      </c>
      <c r="F10" s="7" t="s">
        <v>19</v>
      </c>
      <c r="G10" s="28" t="s">
        <v>35</v>
      </c>
      <c r="H10" s="6">
        <v>10</v>
      </c>
      <c r="I10" s="6">
        <f t="shared" si="1"/>
        <v>10</v>
      </c>
      <c r="J10" s="8">
        <f t="shared" si="5"/>
        <v>0</v>
      </c>
      <c r="K10" s="9">
        <f t="shared" si="6"/>
        <v>1</v>
      </c>
    </row>
    <row r="11" spans="1:11" ht="12.75">
      <c r="A11" s="5">
        <v>10</v>
      </c>
      <c r="B11" s="5" t="s">
        <v>17</v>
      </c>
      <c r="C11" s="7" t="s">
        <v>40</v>
      </c>
      <c r="D11" s="28" t="s">
        <v>66</v>
      </c>
      <c r="E11" s="7" t="s">
        <v>34</v>
      </c>
      <c r="F11" s="7" t="s">
        <v>19</v>
      </c>
      <c r="G11" s="28" t="s">
        <v>35</v>
      </c>
      <c r="H11" s="6">
        <v>10</v>
      </c>
      <c r="I11" s="6">
        <f t="shared" si="1"/>
        <v>10</v>
      </c>
      <c r="J11" s="8">
        <f t="shared" si="3"/>
        <v>0</v>
      </c>
      <c r="K11" s="9">
        <f t="shared" si="4"/>
        <v>1</v>
      </c>
    </row>
    <row r="12" spans="1:11" ht="12.75">
      <c r="A12" s="5">
        <v>11</v>
      </c>
      <c r="B12" s="5" t="s">
        <v>17</v>
      </c>
      <c r="C12" s="7" t="s">
        <v>40</v>
      </c>
      <c r="D12" s="28" t="s">
        <v>67</v>
      </c>
      <c r="E12" s="7" t="s">
        <v>41</v>
      </c>
      <c r="F12" s="7" t="s">
        <v>20</v>
      </c>
      <c r="G12" s="28" t="s">
        <v>35</v>
      </c>
      <c r="H12" s="6">
        <v>25</v>
      </c>
      <c r="I12" s="6">
        <f t="shared" si="1"/>
        <v>25</v>
      </c>
      <c r="J12" s="8">
        <f t="shared" si="3"/>
        <v>0</v>
      </c>
      <c r="K12" s="9">
        <f t="shared" si="4"/>
        <v>1</v>
      </c>
    </row>
    <row r="13" spans="1:11" ht="12.75">
      <c r="A13" s="5">
        <v>12</v>
      </c>
      <c r="B13" s="5" t="s">
        <v>17</v>
      </c>
      <c r="C13" s="7" t="s">
        <v>40</v>
      </c>
      <c r="D13" s="28" t="s">
        <v>68</v>
      </c>
      <c r="E13" s="7" t="s">
        <v>42</v>
      </c>
      <c r="F13" s="7" t="s">
        <v>22</v>
      </c>
      <c r="G13" s="28" t="s">
        <v>35</v>
      </c>
      <c r="H13" s="6">
        <v>20</v>
      </c>
      <c r="I13" s="6">
        <f t="shared" si="1"/>
        <v>20</v>
      </c>
      <c r="J13" s="8">
        <f t="shared" si="3"/>
        <v>0</v>
      </c>
      <c r="K13" s="9">
        <f t="shared" si="4"/>
        <v>1</v>
      </c>
    </row>
    <row r="14" spans="1:11" ht="12.75">
      <c r="A14" s="5">
        <v>13</v>
      </c>
      <c r="B14" s="5" t="s">
        <v>17</v>
      </c>
      <c r="C14" s="7" t="s">
        <v>95</v>
      </c>
      <c r="D14" s="28" t="s">
        <v>69</v>
      </c>
      <c r="E14" s="7" t="s">
        <v>90</v>
      </c>
      <c r="F14" s="7" t="s">
        <v>20</v>
      </c>
      <c r="G14" s="28" t="s">
        <v>35</v>
      </c>
      <c r="H14" s="6">
        <v>15</v>
      </c>
      <c r="I14" s="6">
        <f t="shared" si="1"/>
        <v>15</v>
      </c>
      <c r="J14" s="8">
        <f t="shared" si="3"/>
        <v>0</v>
      </c>
      <c r="K14" s="9">
        <f t="shared" si="4"/>
        <v>1</v>
      </c>
    </row>
    <row r="15" spans="1:11" ht="12.75">
      <c r="A15" s="5">
        <v>14</v>
      </c>
      <c r="B15" s="5" t="s">
        <v>17</v>
      </c>
      <c r="C15" s="7" t="s">
        <v>95</v>
      </c>
      <c r="D15" s="28" t="s">
        <v>69</v>
      </c>
      <c r="E15" s="7" t="s">
        <v>91</v>
      </c>
      <c r="F15" s="7" t="s">
        <v>20</v>
      </c>
      <c r="G15" s="28" t="s">
        <v>35</v>
      </c>
      <c r="H15" s="6">
        <v>20</v>
      </c>
      <c r="I15" s="6">
        <f t="shared" si="1"/>
        <v>20</v>
      </c>
      <c r="J15" s="8">
        <f t="shared" ref="J15:J52" si="7">H15-I15</f>
        <v>0</v>
      </c>
      <c r="K15" s="9">
        <f t="shared" ref="K15:K23" si="8">(I15/(I15+J15))</f>
        <v>1</v>
      </c>
    </row>
    <row r="16" spans="1:11" ht="12.75">
      <c r="A16" s="5">
        <v>15</v>
      </c>
      <c r="B16" s="5" t="s">
        <v>17</v>
      </c>
      <c r="C16" s="7" t="s">
        <v>95</v>
      </c>
      <c r="D16" s="28" t="s">
        <v>69</v>
      </c>
      <c r="E16" s="7" t="s">
        <v>92</v>
      </c>
      <c r="F16" s="7" t="s">
        <v>20</v>
      </c>
      <c r="G16" s="28" t="s">
        <v>35</v>
      </c>
      <c r="H16" s="6">
        <v>20</v>
      </c>
      <c r="I16" s="6">
        <f t="shared" si="1"/>
        <v>20</v>
      </c>
      <c r="J16" s="8">
        <f t="shared" si="7"/>
        <v>0</v>
      </c>
      <c r="K16" s="9">
        <f t="shared" si="8"/>
        <v>1</v>
      </c>
    </row>
    <row r="17" spans="1:11" ht="12.75">
      <c r="A17" s="5">
        <v>16</v>
      </c>
      <c r="B17" s="5" t="s">
        <v>17</v>
      </c>
      <c r="C17" s="7" t="s">
        <v>95</v>
      </c>
      <c r="D17" s="28" t="s">
        <v>69</v>
      </c>
      <c r="E17" s="7" t="s">
        <v>93</v>
      </c>
      <c r="F17" s="7" t="s">
        <v>20</v>
      </c>
      <c r="G17" s="28" t="s">
        <v>35</v>
      </c>
      <c r="H17" s="6">
        <v>25</v>
      </c>
      <c r="I17" s="6">
        <f t="shared" si="1"/>
        <v>25</v>
      </c>
      <c r="J17" s="8">
        <f t="shared" si="7"/>
        <v>0</v>
      </c>
      <c r="K17" s="9">
        <f t="shared" si="8"/>
        <v>1</v>
      </c>
    </row>
    <row r="18" spans="1:11" ht="12.75">
      <c r="A18" s="5">
        <v>17</v>
      </c>
      <c r="B18" s="5" t="s">
        <v>17</v>
      </c>
      <c r="C18" s="7" t="s">
        <v>95</v>
      </c>
      <c r="D18" s="28" t="s">
        <v>80</v>
      </c>
      <c r="E18" s="7" t="s">
        <v>81</v>
      </c>
      <c r="F18" s="7" t="s">
        <v>20</v>
      </c>
      <c r="G18" s="28" t="s">
        <v>35</v>
      </c>
      <c r="H18" s="6">
        <v>20</v>
      </c>
      <c r="I18" s="6">
        <f t="shared" si="1"/>
        <v>20</v>
      </c>
      <c r="J18" s="8">
        <f t="shared" si="7"/>
        <v>0</v>
      </c>
      <c r="K18" s="9">
        <f t="shared" si="8"/>
        <v>1</v>
      </c>
    </row>
    <row r="19" spans="1:11" ht="12.75">
      <c r="A19" s="5">
        <v>18</v>
      </c>
      <c r="B19" s="5" t="s">
        <v>17</v>
      </c>
      <c r="C19" s="7" t="s">
        <v>96</v>
      </c>
      <c r="D19" s="28" t="s">
        <v>70</v>
      </c>
      <c r="E19" s="7" t="s">
        <v>155</v>
      </c>
      <c r="F19" s="7" t="s">
        <v>20</v>
      </c>
      <c r="G19" s="28" t="s">
        <v>35</v>
      </c>
      <c r="H19" s="6">
        <v>25</v>
      </c>
      <c r="I19" s="6">
        <f t="shared" si="1"/>
        <v>25</v>
      </c>
      <c r="J19" s="8">
        <f t="shared" si="7"/>
        <v>0</v>
      </c>
      <c r="K19" s="9">
        <f t="shared" si="8"/>
        <v>1</v>
      </c>
    </row>
    <row r="20" spans="1:11" ht="12.75">
      <c r="A20" s="5">
        <v>19</v>
      </c>
      <c r="B20" s="5" t="s">
        <v>17</v>
      </c>
      <c r="C20" s="7" t="s">
        <v>96</v>
      </c>
      <c r="D20" s="28" t="s">
        <v>70</v>
      </c>
      <c r="E20" s="7" t="s">
        <v>154</v>
      </c>
      <c r="F20" s="7" t="s">
        <v>20</v>
      </c>
      <c r="G20" s="28" t="s">
        <v>35</v>
      </c>
      <c r="H20" s="6">
        <v>30</v>
      </c>
      <c r="I20" s="6">
        <f t="shared" si="1"/>
        <v>30</v>
      </c>
      <c r="J20" s="8">
        <f t="shared" si="7"/>
        <v>0</v>
      </c>
      <c r="K20" s="9">
        <f t="shared" si="8"/>
        <v>1</v>
      </c>
    </row>
    <row r="21" spans="1:11" ht="12.75">
      <c r="A21" s="5">
        <v>20</v>
      </c>
      <c r="B21" s="5" t="s">
        <v>17</v>
      </c>
      <c r="C21" s="7" t="s">
        <v>96</v>
      </c>
      <c r="D21" s="28" t="s">
        <v>70</v>
      </c>
      <c r="E21" s="7" t="s">
        <v>76</v>
      </c>
      <c r="F21" s="7" t="s">
        <v>20</v>
      </c>
      <c r="G21" s="28" t="s">
        <v>35</v>
      </c>
      <c r="H21" s="6">
        <v>10</v>
      </c>
      <c r="I21" s="6">
        <f t="shared" si="1"/>
        <v>10</v>
      </c>
      <c r="J21" s="8">
        <f t="shared" si="7"/>
        <v>0</v>
      </c>
      <c r="K21" s="9">
        <f t="shared" si="8"/>
        <v>1</v>
      </c>
    </row>
    <row r="22" spans="1:11" ht="12.75">
      <c r="A22" s="5">
        <v>21</v>
      </c>
      <c r="B22" s="5" t="s">
        <v>17</v>
      </c>
      <c r="C22" s="7" t="s">
        <v>96</v>
      </c>
      <c r="D22" s="28" t="s">
        <v>70</v>
      </c>
      <c r="E22" s="7" t="s">
        <v>77</v>
      </c>
      <c r="F22" s="7" t="s">
        <v>20</v>
      </c>
      <c r="G22" s="28" t="s">
        <v>35</v>
      </c>
      <c r="H22" s="6">
        <v>30</v>
      </c>
      <c r="I22" s="6">
        <f t="shared" si="1"/>
        <v>30</v>
      </c>
      <c r="J22" s="8">
        <f t="shared" si="7"/>
        <v>0</v>
      </c>
      <c r="K22" s="9">
        <f t="shared" si="8"/>
        <v>1</v>
      </c>
    </row>
    <row r="23" spans="1:11" ht="12.75">
      <c r="A23" s="5">
        <v>22</v>
      </c>
      <c r="B23" s="5" t="s">
        <v>17</v>
      </c>
      <c r="C23" s="7" t="s">
        <v>96</v>
      </c>
      <c r="D23" s="28" t="s">
        <v>82</v>
      </c>
      <c r="E23" s="7" t="s">
        <v>81</v>
      </c>
      <c r="F23" s="7" t="s">
        <v>20</v>
      </c>
      <c r="G23" s="28" t="s">
        <v>35</v>
      </c>
      <c r="H23" s="6">
        <v>30</v>
      </c>
      <c r="I23" s="6">
        <f t="shared" si="1"/>
        <v>30</v>
      </c>
      <c r="J23" s="8">
        <f t="shared" si="7"/>
        <v>0</v>
      </c>
      <c r="K23" s="9">
        <f t="shared" si="8"/>
        <v>1</v>
      </c>
    </row>
    <row r="24" spans="1:11" ht="12.75">
      <c r="A24" s="5">
        <v>23</v>
      </c>
      <c r="B24" s="5" t="s">
        <v>17</v>
      </c>
      <c r="C24" s="7" t="s">
        <v>97</v>
      </c>
      <c r="D24" s="28" t="s">
        <v>83</v>
      </c>
      <c r="E24" s="7" t="s">
        <v>85</v>
      </c>
      <c r="F24" s="7" t="s">
        <v>20</v>
      </c>
      <c r="G24" s="28" t="s">
        <v>35</v>
      </c>
      <c r="H24" s="6">
        <v>15</v>
      </c>
      <c r="I24" s="6">
        <f t="shared" si="1"/>
        <v>15</v>
      </c>
      <c r="J24" s="8">
        <f t="shared" si="7"/>
        <v>0</v>
      </c>
      <c r="K24" s="9">
        <f>(I24/(I24+J24))</f>
        <v>1</v>
      </c>
    </row>
    <row r="25" spans="1:11" ht="12.75">
      <c r="A25" s="5">
        <v>24</v>
      </c>
      <c r="B25" s="5" t="s">
        <v>17</v>
      </c>
      <c r="C25" s="7" t="s">
        <v>97</v>
      </c>
      <c r="D25" s="28" t="s">
        <v>83</v>
      </c>
      <c r="E25" s="7" t="s">
        <v>84</v>
      </c>
      <c r="F25" s="7" t="s">
        <v>20</v>
      </c>
      <c r="G25" s="28" t="s">
        <v>35</v>
      </c>
      <c r="H25" s="6">
        <v>30</v>
      </c>
      <c r="I25" s="6">
        <f t="shared" si="1"/>
        <v>30</v>
      </c>
      <c r="J25" s="8">
        <f t="shared" si="7"/>
        <v>0</v>
      </c>
      <c r="K25" s="9">
        <f>(I25/(I25+J25))</f>
        <v>1</v>
      </c>
    </row>
    <row r="26" spans="1:11" ht="12.75">
      <c r="A26" s="5">
        <v>25</v>
      </c>
      <c r="B26" s="5" t="s">
        <v>17</v>
      </c>
      <c r="C26" s="7" t="s">
        <v>97</v>
      </c>
      <c r="D26" s="28" t="s">
        <v>83</v>
      </c>
      <c r="E26" s="7" t="s">
        <v>156</v>
      </c>
      <c r="F26" s="7" t="s">
        <v>20</v>
      </c>
      <c r="G26" s="28" t="s">
        <v>35</v>
      </c>
      <c r="H26" s="6">
        <v>10</v>
      </c>
      <c r="I26" s="6">
        <f t="shared" si="1"/>
        <v>10</v>
      </c>
      <c r="J26" s="8">
        <f t="shared" si="7"/>
        <v>0</v>
      </c>
      <c r="K26" s="9">
        <f>(I26/(I26+J26))</f>
        <v>1</v>
      </c>
    </row>
    <row r="27" spans="1:11" ht="12.75">
      <c r="A27" s="5">
        <v>26</v>
      </c>
      <c r="B27" s="5" t="s">
        <v>17</v>
      </c>
      <c r="C27" s="7" t="s">
        <v>97</v>
      </c>
      <c r="D27" s="28" t="s">
        <v>71</v>
      </c>
      <c r="E27" s="7" t="s">
        <v>86</v>
      </c>
      <c r="F27" s="7" t="s">
        <v>20</v>
      </c>
      <c r="G27" s="28" t="s">
        <v>35</v>
      </c>
      <c r="H27" s="6">
        <v>25</v>
      </c>
      <c r="I27" s="6">
        <f t="shared" si="1"/>
        <v>25</v>
      </c>
      <c r="J27" s="8">
        <f t="shared" si="7"/>
        <v>0</v>
      </c>
      <c r="K27" s="9">
        <f t="shared" ref="K27:K31" si="9">(I27/(I27+J27))</f>
        <v>1</v>
      </c>
    </row>
    <row r="28" spans="1:11" ht="12.75">
      <c r="A28" s="5">
        <v>27</v>
      </c>
      <c r="B28" s="5" t="s">
        <v>17</v>
      </c>
      <c r="C28" s="7" t="s">
        <v>97</v>
      </c>
      <c r="D28" s="28" t="s">
        <v>71</v>
      </c>
      <c r="E28" s="7" t="s">
        <v>87</v>
      </c>
      <c r="F28" s="7" t="s">
        <v>20</v>
      </c>
      <c r="G28" s="28" t="s">
        <v>35</v>
      </c>
      <c r="H28" s="6">
        <v>45</v>
      </c>
      <c r="I28" s="6">
        <f t="shared" si="1"/>
        <v>45</v>
      </c>
      <c r="J28" s="8">
        <f t="shared" si="7"/>
        <v>0</v>
      </c>
      <c r="K28" s="9">
        <f t="shared" si="9"/>
        <v>1</v>
      </c>
    </row>
    <row r="29" spans="1:11" ht="12.75">
      <c r="A29" s="5">
        <v>28</v>
      </c>
      <c r="B29" s="5" t="s">
        <v>17</v>
      </c>
      <c r="C29" s="7" t="s">
        <v>97</v>
      </c>
      <c r="D29" s="28" t="s">
        <v>71</v>
      </c>
      <c r="E29" s="7" t="s">
        <v>88</v>
      </c>
      <c r="F29" s="7" t="s">
        <v>20</v>
      </c>
      <c r="G29" s="28" t="s">
        <v>35</v>
      </c>
      <c r="H29" s="6">
        <v>45</v>
      </c>
      <c r="I29" s="6">
        <f t="shared" si="1"/>
        <v>45</v>
      </c>
      <c r="J29" s="8">
        <f t="shared" si="7"/>
        <v>0</v>
      </c>
      <c r="K29" s="9">
        <f t="shared" si="9"/>
        <v>1</v>
      </c>
    </row>
    <row r="30" spans="1:11" ht="12.75">
      <c r="A30" s="5">
        <v>29</v>
      </c>
      <c r="B30" s="5" t="s">
        <v>17</v>
      </c>
      <c r="C30" s="7" t="s">
        <v>97</v>
      </c>
      <c r="D30" s="28" t="s">
        <v>71</v>
      </c>
      <c r="E30" s="7" t="s">
        <v>94</v>
      </c>
      <c r="F30" s="7" t="s">
        <v>20</v>
      </c>
      <c r="G30" s="28" t="s">
        <v>35</v>
      </c>
      <c r="H30" s="6">
        <v>30</v>
      </c>
      <c r="I30" s="6">
        <f t="shared" si="1"/>
        <v>30</v>
      </c>
      <c r="J30" s="8">
        <f t="shared" si="7"/>
        <v>0</v>
      </c>
      <c r="K30" s="9">
        <f t="shared" si="9"/>
        <v>1</v>
      </c>
    </row>
    <row r="31" spans="1:11" ht="12.75">
      <c r="A31" s="5">
        <v>30</v>
      </c>
      <c r="B31" s="5" t="s">
        <v>17</v>
      </c>
      <c r="C31" s="7" t="s">
        <v>97</v>
      </c>
      <c r="D31" s="28" t="s">
        <v>89</v>
      </c>
      <c r="E31" s="7" t="s">
        <v>81</v>
      </c>
      <c r="F31" s="7" t="s">
        <v>22</v>
      </c>
      <c r="G31" s="28" t="s">
        <v>35</v>
      </c>
      <c r="H31" s="6">
        <v>45</v>
      </c>
      <c r="I31" s="6">
        <f t="shared" si="1"/>
        <v>45</v>
      </c>
      <c r="J31" s="8">
        <f t="shared" si="7"/>
        <v>0</v>
      </c>
      <c r="K31" s="9">
        <f t="shared" si="9"/>
        <v>1</v>
      </c>
    </row>
    <row r="32" spans="1:11" ht="12.75">
      <c r="A32" s="5">
        <v>31</v>
      </c>
      <c r="B32" s="5" t="s">
        <v>17</v>
      </c>
      <c r="C32" s="7" t="s">
        <v>98</v>
      </c>
      <c r="D32" s="28" t="s">
        <v>99</v>
      </c>
      <c r="E32" s="7" t="s">
        <v>101</v>
      </c>
      <c r="F32" s="7" t="s">
        <v>22</v>
      </c>
      <c r="G32" s="28" t="s">
        <v>35</v>
      </c>
      <c r="H32" s="6">
        <v>10</v>
      </c>
      <c r="I32" s="6">
        <f t="shared" si="1"/>
        <v>10</v>
      </c>
      <c r="J32" s="8">
        <f t="shared" si="7"/>
        <v>0</v>
      </c>
      <c r="K32" s="9">
        <f t="shared" ref="K32" si="10">(I32/(I32+J32))</f>
        <v>1</v>
      </c>
    </row>
    <row r="33" spans="1:11" ht="12.75">
      <c r="A33" s="5">
        <v>32</v>
      </c>
      <c r="B33" s="5" t="s">
        <v>17</v>
      </c>
      <c r="C33" s="7" t="s">
        <v>98</v>
      </c>
      <c r="D33" s="28" t="s">
        <v>100</v>
      </c>
      <c r="E33" s="7" t="s">
        <v>102</v>
      </c>
      <c r="F33" s="7" t="s">
        <v>22</v>
      </c>
      <c r="G33" s="28" t="s">
        <v>35</v>
      </c>
      <c r="H33" s="6">
        <v>15</v>
      </c>
      <c r="I33" s="6">
        <f t="shared" si="1"/>
        <v>15</v>
      </c>
      <c r="J33" s="8">
        <f t="shared" si="7"/>
        <v>0</v>
      </c>
      <c r="K33" s="9">
        <f t="shared" ref="K33" si="11">(I33/(I33+J33))</f>
        <v>1</v>
      </c>
    </row>
    <row r="34" spans="1:11" ht="12.75">
      <c r="A34" s="5">
        <v>33</v>
      </c>
      <c r="B34" s="5" t="s">
        <v>17</v>
      </c>
      <c r="C34" s="7" t="s">
        <v>43</v>
      </c>
      <c r="D34" s="28" t="s">
        <v>72</v>
      </c>
      <c r="E34" s="7" t="s">
        <v>34</v>
      </c>
      <c r="F34" s="7" t="s">
        <v>19</v>
      </c>
      <c r="G34" s="28" t="s">
        <v>35</v>
      </c>
      <c r="H34" s="6">
        <v>15</v>
      </c>
      <c r="I34" s="6">
        <f t="shared" si="1"/>
        <v>15</v>
      </c>
      <c r="J34" s="8">
        <f t="shared" si="7"/>
        <v>0</v>
      </c>
      <c r="K34" s="9">
        <f t="shared" si="4"/>
        <v>1</v>
      </c>
    </row>
    <row r="35" spans="1:11" ht="12.75">
      <c r="A35" s="5">
        <v>34</v>
      </c>
      <c r="B35" s="5" t="s">
        <v>17</v>
      </c>
      <c r="C35" s="7" t="s">
        <v>43</v>
      </c>
      <c r="D35" s="28" t="s">
        <v>72</v>
      </c>
      <c r="E35" s="7" t="s">
        <v>47</v>
      </c>
      <c r="F35" s="7" t="s">
        <v>22</v>
      </c>
      <c r="G35" s="28" t="s">
        <v>35</v>
      </c>
      <c r="H35" s="6">
        <v>25</v>
      </c>
      <c r="I35" s="6">
        <f t="shared" si="1"/>
        <v>25</v>
      </c>
      <c r="J35" s="8">
        <f t="shared" si="7"/>
        <v>0</v>
      </c>
      <c r="K35" s="9">
        <f t="shared" si="4"/>
        <v>1</v>
      </c>
    </row>
    <row r="36" spans="1:11" ht="12.75">
      <c r="A36" s="5">
        <v>35</v>
      </c>
      <c r="B36" s="5" t="s">
        <v>17</v>
      </c>
      <c r="C36" s="7" t="s">
        <v>44</v>
      </c>
      <c r="D36" s="28" t="s">
        <v>46</v>
      </c>
      <c r="E36" s="7" t="s">
        <v>45</v>
      </c>
      <c r="F36" s="7" t="s">
        <v>19</v>
      </c>
      <c r="G36" s="28" t="s">
        <v>35</v>
      </c>
      <c r="H36" s="6">
        <v>30</v>
      </c>
      <c r="I36" s="6">
        <f t="shared" si="1"/>
        <v>30</v>
      </c>
      <c r="J36" s="8">
        <f t="shared" si="7"/>
        <v>0</v>
      </c>
      <c r="K36" s="9">
        <f t="shared" si="4"/>
        <v>1</v>
      </c>
    </row>
    <row r="37" spans="1:11" ht="12.75">
      <c r="A37" s="5">
        <v>36</v>
      </c>
      <c r="B37" s="5" t="s">
        <v>17</v>
      </c>
      <c r="C37" s="7" t="s">
        <v>44</v>
      </c>
      <c r="D37" s="28" t="s">
        <v>123</v>
      </c>
      <c r="E37" s="7" t="s">
        <v>49</v>
      </c>
      <c r="F37" s="7" t="s">
        <v>20</v>
      </c>
      <c r="G37" s="28" t="s">
        <v>35</v>
      </c>
      <c r="H37" s="6">
        <v>20</v>
      </c>
      <c r="I37" s="6">
        <f t="shared" si="1"/>
        <v>20</v>
      </c>
      <c r="J37" s="8">
        <f t="shared" si="7"/>
        <v>0</v>
      </c>
      <c r="K37" s="9">
        <f t="shared" si="4"/>
        <v>1</v>
      </c>
    </row>
    <row r="38" spans="1:11" ht="12.75">
      <c r="A38" s="5">
        <v>37</v>
      </c>
      <c r="B38" s="5" t="s">
        <v>17</v>
      </c>
      <c r="C38" s="7" t="s">
        <v>44</v>
      </c>
      <c r="D38" s="28" t="s">
        <v>48</v>
      </c>
      <c r="E38" s="7" t="s">
        <v>47</v>
      </c>
      <c r="F38" s="7" t="s">
        <v>22</v>
      </c>
      <c r="G38" s="28" t="s">
        <v>35</v>
      </c>
      <c r="H38" s="6">
        <v>15</v>
      </c>
      <c r="I38" s="6">
        <f t="shared" si="1"/>
        <v>15</v>
      </c>
      <c r="J38" s="8">
        <f t="shared" si="7"/>
        <v>0</v>
      </c>
      <c r="K38" s="9">
        <f t="shared" si="4"/>
        <v>1</v>
      </c>
    </row>
    <row r="39" spans="1:11" ht="12.75">
      <c r="A39" s="5">
        <v>38</v>
      </c>
      <c r="B39" s="5" t="s">
        <v>50</v>
      </c>
      <c r="C39" s="7" t="s">
        <v>53</v>
      </c>
      <c r="D39" s="28" t="s">
        <v>74</v>
      </c>
      <c r="E39" s="7" t="s">
        <v>34</v>
      </c>
      <c r="F39" s="7" t="s">
        <v>19</v>
      </c>
      <c r="G39" s="28" t="s">
        <v>35</v>
      </c>
      <c r="H39" s="6">
        <v>15</v>
      </c>
      <c r="I39" s="6">
        <f t="shared" si="1"/>
        <v>15</v>
      </c>
      <c r="J39" s="8">
        <f t="shared" si="7"/>
        <v>0</v>
      </c>
      <c r="K39" s="9">
        <f t="shared" si="4"/>
        <v>1</v>
      </c>
    </row>
    <row r="40" spans="1:11" ht="12.75">
      <c r="A40" s="5">
        <v>39</v>
      </c>
      <c r="B40" s="5" t="s">
        <v>50</v>
      </c>
      <c r="C40" s="7" t="s">
        <v>53</v>
      </c>
      <c r="D40" s="28" t="s">
        <v>64</v>
      </c>
      <c r="E40" s="7" t="s">
        <v>52</v>
      </c>
      <c r="F40" s="7" t="s">
        <v>51</v>
      </c>
      <c r="G40" s="28" t="s">
        <v>35</v>
      </c>
      <c r="H40" s="6">
        <v>15</v>
      </c>
      <c r="I40" s="6">
        <f t="shared" si="1"/>
        <v>15</v>
      </c>
      <c r="J40" s="8">
        <f t="shared" si="7"/>
        <v>0</v>
      </c>
      <c r="K40" s="9">
        <f t="shared" si="4"/>
        <v>1</v>
      </c>
    </row>
    <row r="41" spans="1:11" ht="12.75">
      <c r="A41" s="5">
        <v>40</v>
      </c>
      <c r="B41" s="5" t="s">
        <v>50</v>
      </c>
      <c r="C41" s="7" t="s">
        <v>53</v>
      </c>
      <c r="D41" s="28" t="s">
        <v>74</v>
      </c>
      <c r="E41" s="7" t="s">
        <v>47</v>
      </c>
      <c r="F41" s="7" t="s">
        <v>22</v>
      </c>
      <c r="G41" s="28" t="s">
        <v>35</v>
      </c>
      <c r="H41" s="6">
        <v>20</v>
      </c>
      <c r="I41" s="6">
        <f t="shared" si="1"/>
        <v>20</v>
      </c>
      <c r="J41" s="8">
        <f t="shared" si="7"/>
        <v>0</v>
      </c>
      <c r="K41" s="9">
        <f t="shared" si="4"/>
        <v>1</v>
      </c>
    </row>
    <row r="42" spans="1:11" ht="12.75">
      <c r="A42" s="5">
        <v>41</v>
      </c>
      <c r="B42" s="5" t="s">
        <v>50</v>
      </c>
      <c r="C42" s="7" t="s">
        <v>53</v>
      </c>
      <c r="D42" s="28" t="s">
        <v>73</v>
      </c>
      <c r="E42" s="7" t="s">
        <v>34</v>
      </c>
      <c r="F42" s="7" t="s">
        <v>19</v>
      </c>
      <c r="G42" s="28" t="s">
        <v>35</v>
      </c>
      <c r="H42" s="6">
        <v>25</v>
      </c>
      <c r="I42" s="6">
        <f t="shared" si="1"/>
        <v>25</v>
      </c>
      <c r="J42" s="8">
        <f t="shared" si="7"/>
        <v>0</v>
      </c>
      <c r="K42" s="9">
        <f t="shared" si="4"/>
        <v>1</v>
      </c>
    </row>
    <row r="43" spans="1:11" ht="12.75">
      <c r="A43" s="5">
        <v>42</v>
      </c>
      <c r="B43" s="5" t="s">
        <v>50</v>
      </c>
      <c r="C43" s="7" t="s">
        <v>53</v>
      </c>
      <c r="D43" s="28" t="s">
        <v>123</v>
      </c>
      <c r="E43" s="7" t="s">
        <v>55</v>
      </c>
      <c r="F43" s="7" t="s">
        <v>20</v>
      </c>
      <c r="G43" s="28" t="s">
        <v>35</v>
      </c>
      <c r="H43" s="6">
        <v>25</v>
      </c>
      <c r="I43" s="6">
        <f t="shared" si="1"/>
        <v>25</v>
      </c>
      <c r="J43" s="8">
        <f t="shared" si="7"/>
        <v>0</v>
      </c>
      <c r="K43" s="9">
        <f t="shared" ref="K43:K45" si="12">(I43/(I43+J43))</f>
        <v>1</v>
      </c>
    </row>
    <row r="44" spans="1:11" ht="12.75">
      <c r="A44" s="5">
        <v>43</v>
      </c>
      <c r="B44" s="5" t="s">
        <v>50</v>
      </c>
      <c r="C44" s="7" t="s">
        <v>53</v>
      </c>
      <c r="D44" s="28" t="s">
        <v>123</v>
      </c>
      <c r="E44" s="7" t="s">
        <v>56</v>
      </c>
      <c r="F44" s="7" t="s">
        <v>20</v>
      </c>
      <c r="G44" s="28" t="s">
        <v>35</v>
      </c>
      <c r="H44" s="6">
        <v>30</v>
      </c>
      <c r="I44" s="6">
        <f t="shared" si="1"/>
        <v>30</v>
      </c>
      <c r="J44" s="8">
        <f t="shared" si="7"/>
        <v>0</v>
      </c>
      <c r="K44" s="9">
        <f t="shared" si="12"/>
        <v>1</v>
      </c>
    </row>
    <row r="45" spans="1:11" ht="12.75">
      <c r="A45" s="5">
        <v>44</v>
      </c>
      <c r="B45" s="5" t="s">
        <v>50</v>
      </c>
      <c r="C45" s="7" t="s">
        <v>53</v>
      </c>
      <c r="D45" s="28" t="s">
        <v>123</v>
      </c>
      <c r="E45" s="7" t="s">
        <v>57</v>
      </c>
      <c r="F45" s="7" t="s">
        <v>20</v>
      </c>
      <c r="G45" s="28" t="s">
        <v>35</v>
      </c>
      <c r="H45" s="6">
        <v>30</v>
      </c>
      <c r="I45" s="6">
        <f t="shared" si="1"/>
        <v>30</v>
      </c>
      <c r="J45" s="8">
        <f t="shared" si="7"/>
        <v>0</v>
      </c>
      <c r="K45" s="9">
        <f t="shared" si="12"/>
        <v>1</v>
      </c>
    </row>
    <row r="46" spans="1:11" ht="12.75">
      <c r="A46" s="5">
        <v>45</v>
      </c>
      <c r="B46" s="5" t="s">
        <v>50</v>
      </c>
      <c r="C46" s="7" t="s">
        <v>53</v>
      </c>
      <c r="D46" s="28" t="s">
        <v>123</v>
      </c>
      <c r="E46" s="7" t="s">
        <v>54</v>
      </c>
      <c r="F46" s="7" t="s">
        <v>20</v>
      </c>
      <c r="G46" s="28" t="s">
        <v>35</v>
      </c>
      <c r="H46" s="6">
        <v>25</v>
      </c>
      <c r="I46" s="6">
        <f t="shared" si="1"/>
        <v>25</v>
      </c>
      <c r="J46" s="8">
        <f t="shared" si="7"/>
        <v>0</v>
      </c>
      <c r="K46" s="9">
        <f t="shared" si="4"/>
        <v>1</v>
      </c>
    </row>
    <row r="47" spans="1:11" ht="12.75">
      <c r="A47" s="5">
        <v>46</v>
      </c>
      <c r="B47" s="5" t="s">
        <v>50</v>
      </c>
      <c r="C47" s="7" t="s">
        <v>53</v>
      </c>
      <c r="D47" s="28" t="s">
        <v>73</v>
      </c>
      <c r="E47" s="7" t="s">
        <v>47</v>
      </c>
      <c r="F47" s="7" t="s">
        <v>22</v>
      </c>
      <c r="G47" s="28" t="s">
        <v>35</v>
      </c>
      <c r="H47" s="6">
        <v>25</v>
      </c>
      <c r="I47" s="6">
        <f t="shared" si="1"/>
        <v>25</v>
      </c>
      <c r="J47" s="8">
        <f t="shared" si="7"/>
        <v>0</v>
      </c>
      <c r="K47" s="9">
        <f t="shared" si="4"/>
        <v>1</v>
      </c>
    </row>
    <row r="48" spans="1:11" ht="12.75">
      <c r="A48" s="5">
        <v>47</v>
      </c>
      <c r="B48" s="5" t="s">
        <v>50</v>
      </c>
      <c r="C48" s="7" t="s">
        <v>78</v>
      </c>
      <c r="D48" s="28" t="s">
        <v>79</v>
      </c>
      <c r="E48" s="7" t="s">
        <v>34</v>
      </c>
      <c r="F48" s="7" t="s">
        <v>19</v>
      </c>
      <c r="G48" s="28" t="s">
        <v>35</v>
      </c>
      <c r="H48" s="6">
        <v>30</v>
      </c>
      <c r="I48" s="6">
        <f t="shared" si="1"/>
        <v>30</v>
      </c>
      <c r="J48" s="8">
        <f t="shared" si="7"/>
        <v>0</v>
      </c>
      <c r="K48" s="9">
        <f t="shared" si="4"/>
        <v>1</v>
      </c>
    </row>
    <row r="49" spans="1:11" ht="12.75">
      <c r="A49" s="5">
        <v>48</v>
      </c>
      <c r="B49" s="5" t="s">
        <v>50</v>
      </c>
      <c r="C49" s="7" t="s">
        <v>78</v>
      </c>
      <c r="D49" s="28" t="s">
        <v>123</v>
      </c>
      <c r="E49" s="7" t="s">
        <v>103</v>
      </c>
      <c r="F49" s="7" t="s">
        <v>20</v>
      </c>
      <c r="G49" s="28" t="s">
        <v>35</v>
      </c>
      <c r="H49" s="6">
        <v>15</v>
      </c>
      <c r="I49" s="6">
        <f t="shared" si="1"/>
        <v>15</v>
      </c>
      <c r="J49" s="8">
        <f t="shared" si="7"/>
        <v>0</v>
      </c>
      <c r="K49" s="9">
        <f t="shared" ref="K49:K52" si="13">(I49/(I49+J49))</f>
        <v>1</v>
      </c>
    </row>
    <row r="50" spans="1:11" ht="12.75">
      <c r="A50" s="5">
        <v>49</v>
      </c>
      <c r="B50" s="5" t="s">
        <v>50</v>
      </c>
      <c r="C50" s="7" t="s">
        <v>78</v>
      </c>
      <c r="D50" s="28" t="s">
        <v>123</v>
      </c>
      <c r="E50" s="7" t="s">
        <v>86</v>
      </c>
      <c r="F50" s="7" t="s">
        <v>20</v>
      </c>
      <c r="G50" s="28" t="s">
        <v>35</v>
      </c>
      <c r="H50" s="6">
        <v>25</v>
      </c>
      <c r="I50" s="6">
        <f t="shared" si="1"/>
        <v>25</v>
      </c>
      <c r="J50" s="8">
        <f t="shared" si="7"/>
        <v>0</v>
      </c>
      <c r="K50" s="9">
        <f t="shared" ref="K50:K51" si="14">(I50/(I50+J50))</f>
        <v>1</v>
      </c>
    </row>
    <row r="51" spans="1:11" ht="12.75">
      <c r="A51" s="5">
        <v>50</v>
      </c>
      <c r="B51" s="5" t="s">
        <v>50</v>
      </c>
      <c r="C51" s="7" t="s">
        <v>104</v>
      </c>
      <c r="D51" s="28" t="s">
        <v>123</v>
      </c>
      <c r="E51" s="7" t="s">
        <v>88</v>
      </c>
      <c r="F51" s="7" t="s">
        <v>20</v>
      </c>
      <c r="G51" s="28" t="s">
        <v>35</v>
      </c>
      <c r="H51" s="6">
        <v>45</v>
      </c>
      <c r="I51" s="6">
        <f t="shared" si="1"/>
        <v>45</v>
      </c>
      <c r="J51" s="8">
        <f t="shared" si="7"/>
        <v>0</v>
      </c>
      <c r="K51" s="9">
        <f t="shared" si="14"/>
        <v>1</v>
      </c>
    </row>
    <row r="52" spans="1:11" ht="12.75">
      <c r="A52" s="5">
        <v>51</v>
      </c>
      <c r="B52" s="5" t="s">
        <v>50</v>
      </c>
      <c r="C52" s="7" t="s">
        <v>104</v>
      </c>
      <c r="D52" s="28" t="s">
        <v>79</v>
      </c>
      <c r="E52" s="7" t="s">
        <v>47</v>
      </c>
      <c r="F52" s="7" t="s">
        <v>22</v>
      </c>
      <c r="G52" s="28" t="s">
        <v>35</v>
      </c>
      <c r="H52" s="6">
        <v>20</v>
      </c>
      <c r="I52" s="6">
        <f t="shared" si="1"/>
        <v>20</v>
      </c>
      <c r="J52" s="8">
        <f t="shared" si="7"/>
        <v>0</v>
      </c>
      <c r="K52" s="9">
        <f t="shared" si="13"/>
        <v>1</v>
      </c>
    </row>
    <row r="53" spans="1:11" ht="12.75">
      <c r="A53" s="5">
        <v>52</v>
      </c>
      <c r="B53" s="5" t="s">
        <v>50</v>
      </c>
      <c r="C53" s="7" t="s">
        <v>44</v>
      </c>
      <c r="D53" s="28" t="s">
        <v>105</v>
      </c>
      <c r="E53" s="7" t="s">
        <v>34</v>
      </c>
      <c r="F53" s="7" t="s">
        <v>19</v>
      </c>
      <c r="G53" s="28" t="s">
        <v>35</v>
      </c>
      <c r="H53" s="6">
        <v>15</v>
      </c>
      <c r="I53" s="6">
        <f t="shared" si="1"/>
        <v>15</v>
      </c>
      <c r="J53" s="8">
        <f t="shared" ref="J53" si="15">H53-I53</f>
        <v>0</v>
      </c>
      <c r="K53" s="9">
        <f t="shared" ref="K53" si="16">(I53/(I53+J53))</f>
        <v>1</v>
      </c>
    </row>
    <row r="54" spans="1:11" ht="12.75">
      <c r="A54" s="5">
        <v>53</v>
      </c>
      <c r="B54" s="5" t="s">
        <v>50</v>
      </c>
      <c r="C54" s="7" t="s">
        <v>44</v>
      </c>
      <c r="D54" s="28" t="s">
        <v>105</v>
      </c>
      <c r="E54" s="7" t="s">
        <v>106</v>
      </c>
      <c r="F54" s="7" t="s">
        <v>22</v>
      </c>
      <c r="G54" s="28" t="s">
        <v>35</v>
      </c>
      <c r="H54" s="6">
        <v>30</v>
      </c>
      <c r="I54" s="6">
        <f t="shared" si="1"/>
        <v>30</v>
      </c>
      <c r="J54" s="8">
        <f t="shared" ref="J54:J55" si="17">H54-I54</f>
        <v>0</v>
      </c>
      <c r="K54" s="9">
        <f t="shared" ref="K54" si="18">(I54/(I54+J54))</f>
        <v>1</v>
      </c>
    </row>
    <row r="55" spans="1:11" ht="12.75">
      <c r="A55" s="5">
        <v>54</v>
      </c>
      <c r="B55" s="5" t="s">
        <v>17</v>
      </c>
      <c r="C55" s="28" t="s">
        <v>107</v>
      </c>
      <c r="D55" s="28" t="s">
        <v>105</v>
      </c>
      <c r="E55" s="7" t="s">
        <v>34</v>
      </c>
      <c r="F55" s="7" t="s">
        <v>19</v>
      </c>
      <c r="G55" s="28" t="s">
        <v>35</v>
      </c>
      <c r="H55" s="6">
        <v>15</v>
      </c>
      <c r="I55" s="6">
        <f t="shared" si="1"/>
        <v>15</v>
      </c>
      <c r="J55" s="8">
        <f t="shared" si="17"/>
        <v>0</v>
      </c>
      <c r="K55" s="9">
        <f>(I55/(I55+J55))</f>
        <v>1</v>
      </c>
    </row>
    <row r="56" spans="1:11" ht="12.75">
      <c r="A56" s="5">
        <v>55</v>
      </c>
      <c r="B56" s="5" t="s">
        <v>17</v>
      </c>
      <c r="C56" s="28" t="s">
        <v>107</v>
      </c>
      <c r="D56" s="28" t="s">
        <v>105</v>
      </c>
      <c r="E56" s="7" t="s">
        <v>47</v>
      </c>
      <c r="F56" s="7" t="s">
        <v>22</v>
      </c>
      <c r="G56" s="28" t="s">
        <v>35</v>
      </c>
      <c r="H56" s="6">
        <v>20</v>
      </c>
      <c r="I56" s="6">
        <f t="shared" si="1"/>
        <v>20</v>
      </c>
      <c r="J56" s="8">
        <f t="shared" ref="J56:J61" si="19">H56-I56</f>
        <v>0</v>
      </c>
      <c r="K56" s="9">
        <f t="shared" ref="K56:K61" si="20">(I56/(I56+J56))</f>
        <v>1</v>
      </c>
    </row>
    <row r="57" spans="1:11" ht="12.75">
      <c r="A57" s="5">
        <v>56</v>
      </c>
      <c r="B57" s="5" t="s">
        <v>17</v>
      </c>
      <c r="C57" s="28" t="s">
        <v>107</v>
      </c>
      <c r="D57" s="28" t="s">
        <v>123</v>
      </c>
      <c r="E57" s="7" t="s">
        <v>108</v>
      </c>
      <c r="F57" s="7" t="s">
        <v>20</v>
      </c>
      <c r="G57" s="28" t="s">
        <v>35</v>
      </c>
      <c r="H57" s="6">
        <v>45</v>
      </c>
      <c r="I57" s="6">
        <f t="shared" si="1"/>
        <v>45</v>
      </c>
      <c r="J57" s="8">
        <f t="shared" si="19"/>
        <v>0</v>
      </c>
      <c r="K57" s="9">
        <f t="shared" si="20"/>
        <v>1</v>
      </c>
    </row>
    <row r="58" spans="1:11" ht="12.75">
      <c r="A58" s="5">
        <v>57</v>
      </c>
      <c r="B58" s="5" t="s">
        <v>17</v>
      </c>
      <c r="C58" s="28" t="s">
        <v>109</v>
      </c>
      <c r="D58" s="28" t="s">
        <v>74</v>
      </c>
      <c r="E58" s="7" t="s">
        <v>34</v>
      </c>
      <c r="F58" s="7" t="s">
        <v>19</v>
      </c>
      <c r="G58" s="28" t="s">
        <v>35</v>
      </c>
      <c r="H58" s="6">
        <v>20</v>
      </c>
      <c r="I58" s="6">
        <f t="shared" si="1"/>
        <v>20</v>
      </c>
      <c r="J58" s="8">
        <f t="shared" si="19"/>
        <v>0</v>
      </c>
      <c r="K58" s="9">
        <f t="shared" si="20"/>
        <v>1</v>
      </c>
    </row>
    <row r="59" spans="1:11" ht="12.75">
      <c r="A59" s="5">
        <v>58</v>
      </c>
      <c r="B59" s="5" t="s">
        <v>17</v>
      </c>
      <c r="C59" s="28" t="s">
        <v>109</v>
      </c>
      <c r="D59" s="28" t="s">
        <v>123</v>
      </c>
      <c r="E59" s="7" t="s">
        <v>110</v>
      </c>
      <c r="F59" s="7" t="s">
        <v>20</v>
      </c>
      <c r="G59" s="28" t="s">
        <v>35</v>
      </c>
      <c r="H59" s="6">
        <v>40</v>
      </c>
      <c r="I59" s="6">
        <f t="shared" si="1"/>
        <v>40</v>
      </c>
      <c r="J59" s="8">
        <f t="shared" si="19"/>
        <v>0</v>
      </c>
      <c r="K59" s="9">
        <f t="shared" si="20"/>
        <v>1</v>
      </c>
    </row>
    <row r="60" spans="1:11" ht="12.75">
      <c r="A60" s="5">
        <v>59</v>
      </c>
      <c r="B60" s="5" t="s">
        <v>17</v>
      </c>
      <c r="C60" s="28" t="s">
        <v>109</v>
      </c>
      <c r="D60" s="28" t="s">
        <v>74</v>
      </c>
      <c r="E60" s="7" t="s">
        <v>47</v>
      </c>
      <c r="F60" s="7" t="s">
        <v>22</v>
      </c>
      <c r="G60" s="28" t="s">
        <v>35</v>
      </c>
      <c r="H60" s="6">
        <v>20</v>
      </c>
      <c r="I60" s="6">
        <f t="shared" si="1"/>
        <v>20</v>
      </c>
      <c r="J60" s="8">
        <f t="shared" si="19"/>
        <v>0</v>
      </c>
      <c r="K60" s="9">
        <f t="shared" si="20"/>
        <v>1</v>
      </c>
    </row>
    <row r="61" spans="1:11" ht="12.75">
      <c r="A61" s="5">
        <v>60</v>
      </c>
      <c r="B61" s="5" t="s">
        <v>50</v>
      </c>
      <c r="C61" s="7" t="s">
        <v>111</v>
      </c>
      <c r="D61" s="28" t="s">
        <v>65</v>
      </c>
      <c r="E61" s="7" t="s">
        <v>114</v>
      </c>
      <c r="F61" s="7" t="s">
        <v>20</v>
      </c>
      <c r="G61" s="28" t="s">
        <v>35</v>
      </c>
      <c r="H61" s="6">
        <v>20</v>
      </c>
      <c r="I61" s="6">
        <f t="shared" si="1"/>
        <v>20</v>
      </c>
      <c r="J61" s="8">
        <f t="shared" si="19"/>
        <v>0</v>
      </c>
      <c r="K61" s="9">
        <f t="shared" si="20"/>
        <v>1</v>
      </c>
    </row>
    <row r="62" spans="1:11" ht="12.75">
      <c r="A62" s="5">
        <v>61</v>
      </c>
      <c r="B62" s="5" t="s">
        <v>50</v>
      </c>
      <c r="C62" s="7" t="s">
        <v>111</v>
      </c>
      <c r="D62" s="28" t="s">
        <v>65</v>
      </c>
      <c r="E62" s="7" t="s">
        <v>148</v>
      </c>
      <c r="F62" s="7" t="s">
        <v>20</v>
      </c>
      <c r="G62" s="28" t="s">
        <v>35</v>
      </c>
      <c r="H62" s="6">
        <v>15</v>
      </c>
      <c r="I62" s="6">
        <f t="shared" si="1"/>
        <v>15</v>
      </c>
      <c r="J62" s="8">
        <f t="shared" ref="J62" si="21">H62-I62</f>
        <v>0</v>
      </c>
      <c r="K62" s="9">
        <f t="shared" ref="K62" si="22">(I62/(I62+J62))</f>
        <v>1</v>
      </c>
    </row>
    <row r="63" spans="1:11" ht="12.75">
      <c r="A63" s="5">
        <v>62</v>
      </c>
      <c r="B63" s="5" t="s">
        <v>50</v>
      </c>
      <c r="C63" s="7" t="s">
        <v>112</v>
      </c>
      <c r="D63" s="28" t="s">
        <v>113</v>
      </c>
      <c r="E63" s="7" t="s">
        <v>34</v>
      </c>
      <c r="F63" s="7" t="s">
        <v>19</v>
      </c>
      <c r="G63" s="28" t="s">
        <v>35</v>
      </c>
      <c r="H63" s="6">
        <v>20</v>
      </c>
      <c r="I63" s="6">
        <f t="shared" si="1"/>
        <v>20</v>
      </c>
      <c r="J63" s="8">
        <f t="shared" ref="J63" si="23">H63-I63</f>
        <v>0</v>
      </c>
      <c r="K63" s="9">
        <f t="shared" ref="K63" si="24">(I63/(I63+J63))</f>
        <v>1</v>
      </c>
    </row>
    <row r="64" spans="1:11" ht="12.75">
      <c r="A64" s="5">
        <v>63</v>
      </c>
      <c r="B64" s="5" t="s">
        <v>50</v>
      </c>
      <c r="C64" s="7" t="s">
        <v>112</v>
      </c>
      <c r="D64" s="28" t="s">
        <v>122</v>
      </c>
      <c r="E64" s="7" t="s">
        <v>115</v>
      </c>
      <c r="F64" s="7" t="s">
        <v>20</v>
      </c>
      <c r="G64" s="28" t="s">
        <v>35</v>
      </c>
      <c r="H64" s="6">
        <v>10</v>
      </c>
      <c r="I64" s="6">
        <f t="shared" si="1"/>
        <v>10</v>
      </c>
      <c r="J64" s="8">
        <f t="shared" ref="J64:J66" si="25">H64-I64</f>
        <v>0</v>
      </c>
      <c r="K64" s="9">
        <f t="shared" ref="K64:K66" si="26">(I64/(I64+J64))</f>
        <v>1</v>
      </c>
    </row>
    <row r="65" spans="1:11" ht="12.75">
      <c r="A65" s="5">
        <v>64</v>
      </c>
      <c r="B65" s="5" t="s">
        <v>50</v>
      </c>
      <c r="C65" s="7" t="s">
        <v>112</v>
      </c>
      <c r="D65" s="28" t="s">
        <v>122</v>
      </c>
      <c r="E65" s="7" t="s">
        <v>116</v>
      </c>
      <c r="F65" s="7" t="s">
        <v>20</v>
      </c>
      <c r="G65" s="28" t="s">
        <v>35</v>
      </c>
      <c r="H65" s="6">
        <v>15</v>
      </c>
      <c r="I65" s="6">
        <f t="shared" si="1"/>
        <v>15</v>
      </c>
      <c r="J65" s="8">
        <f t="shared" si="25"/>
        <v>0</v>
      </c>
      <c r="K65" s="9">
        <f t="shared" si="26"/>
        <v>1</v>
      </c>
    </row>
    <row r="66" spans="1:11" ht="12.75">
      <c r="A66" s="5">
        <v>65</v>
      </c>
      <c r="B66" s="5" t="s">
        <v>50</v>
      </c>
      <c r="C66" s="7" t="s">
        <v>112</v>
      </c>
      <c r="D66" s="28" t="s">
        <v>113</v>
      </c>
      <c r="E66" s="7" t="s">
        <v>47</v>
      </c>
      <c r="F66" s="7" t="s">
        <v>22</v>
      </c>
      <c r="G66" s="28" t="s">
        <v>35</v>
      </c>
      <c r="H66" s="6">
        <v>15</v>
      </c>
      <c r="I66" s="6">
        <f t="shared" si="1"/>
        <v>15</v>
      </c>
      <c r="J66" s="8">
        <f t="shared" si="25"/>
        <v>0</v>
      </c>
      <c r="K66" s="9">
        <f t="shared" si="26"/>
        <v>1</v>
      </c>
    </row>
    <row r="67" spans="1:11" ht="12.75">
      <c r="A67" s="5">
        <v>66</v>
      </c>
      <c r="B67" s="5" t="s">
        <v>50</v>
      </c>
      <c r="C67" s="7" t="s">
        <v>117</v>
      </c>
      <c r="D67" s="28" t="s">
        <v>74</v>
      </c>
      <c r="E67" s="7" t="s">
        <v>118</v>
      </c>
      <c r="F67" s="7" t="s">
        <v>19</v>
      </c>
      <c r="G67" s="28" t="s">
        <v>35</v>
      </c>
      <c r="H67" s="6">
        <v>15</v>
      </c>
      <c r="I67" s="6">
        <f t="shared" ref="I67:I93" si="27">H67</f>
        <v>15</v>
      </c>
      <c r="J67" s="8">
        <f t="shared" ref="J67" si="28">H67-I67</f>
        <v>0</v>
      </c>
      <c r="K67" s="9">
        <f t="shared" ref="K67" si="29">(I67/(I67+J67))</f>
        <v>1</v>
      </c>
    </row>
    <row r="68" spans="1:11" ht="12.75">
      <c r="A68" s="5">
        <v>67</v>
      </c>
      <c r="B68" s="5" t="s">
        <v>50</v>
      </c>
      <c r="C68" s="7" t="s">
        <v>117</v>
      </c>
      <c r="D68" s="28" t="s">
        <v>123</v>
      </c>
      <c r="E68" s="7" t="s">
        <v>119</v>
      </c>
      <c r="F68" s="7" t="s">
        <v>20</v>
      </c>
      <c r="G68" s="28" t="s">
        <v>35</v>
      </c>
      <c r="H68" s="6">
        <v>10</v>
      </c>
      <c r="I68" s="6">
        <f t="shared" si="27"/>
        <v>10</v>
      </c>
      <c r="J68" s="8">
        <f t="shared" ref="J68:J71" si="30">H68-I68</f>
        <v>0</v>
      </c>
      <c r="K68" s="9">
        <f t="shared" ref="K68:K71" si="31">(I68/(I68+J68))</f>
        <v>1</v>
      </c>
    </row>
    <row r="69" spans="1:11" ht="12.75">
      <c r="A69" s="5">
        <v>68</v>
      </c>
      <c r="B69" s="5" t="s">
        <v>50</v>
      </c>
      <c r="C69" s="7" t="s">
        <v>117</v>
      </c>
      <c r="D69" s="28" t="s">
        <v>74</v>
      </c>
      <c r="E69" s="7" t="s">
        <v>47</v>
      </c>
      <c r="F69" s="7" t="s">
        <v>22</v>
      </c>
      <c r="G69" s="28" t="s">
        <v>35</v>
      </c>
      <c r="H69" s="6">
        <v>15</v>
      </c>
      <c r="I69" s="6">
        <f t="shared" si="27"/>
        <v>15</v>
      </c>
      <c r="J69" s="8">
        <f t="shared" si="30"/>
        <v>0</v>
      </c>
      <c r="K69" s="9">
        <f t="shared" si="31"/>
        <v>1</v>
      </c>
    </row>
    <row r="70" spans="1:11" ht="12.75">
      <c r="A70" s="5">
        <v>69</v>
      </c>
      <c r="B70" s="5" t="s">
        <v>50</v>
      </c>
      <c r="C70" s="7" t="s">
        <v>117</v>
      </c>
      <c r="D70" s="28" t="s">
        <v>74</v>
      </c>
      <c r="E70" s="7" t="s">
        <v>120</v>
      </c>
      <c r="F70" s="7" t="s">
        <v>19</v>
      </c>
      <c r="G70" s="28" t="s">
        <v>35</v>
      </c>
      <c r="H70" s="6">
        <v>15</v>
      </c>
      <c r="I70" s="6">
        <f t="shared" si="27"/>
        <v>15</v>
      </c>
      <c r="J70" s="8">
        <f t="shared" si="30"/>
        <v>0</v>
      </c>
      <c r="K70" s="9">
        <f t="shared" si="31"/>
        <v>1</v>
      </c>
    </row>
    <row r="71" spans="1:11" ht="12.75">
      <c r="A71" s="5">
        <v>70</v>
      </c>
      <c r="B71" s="5" t="s">
        <v>50</v>
      </c>
      <c r="C71" s="7" t="s">
        <v>117</v>
      </c>
      <c r="D71" s="28" t="s">
        <v>74</v>
      </c>
      <c r="E71" s="7" t="s">
        <v>121</v>
      </c>
      <c r="F71" s="7" t="s">
        <v>20</v>
      </c>
      <c r="G71" s="28" t="s">
        <v>35</v>
      </c>
      <c r="H71" s="6">
        <v>20</v>
      </c>
      <c r="I71" s="6">
        <f t="shared" si="27"/>
        <v>20</v>
      </c>
      <c r="J71" s="8">
        <f t="shared" si="30"/>
        <v>0</v>
      </c>
      <c r="K71" s="9">
        <f t="shared" si="31"/>
        <v>1</v>
      </c>
    </row>
    <row r="72" spans="1:11" ht="12.75">
      <c r="A72" s="5">
        <v>71</v>
      </c>
      <c r="B72" s="5" t="s">
        <v>17</v>
      </c>
      <c r="C72" s="7" t="s">
        <v>95</v>
      </c>
      <c r="D72" s="28" t="s">
        <v>80</v>
      </c>
      <c r="E72" s="7" t="s">
        <v>124</v>
      </c>
      <c r="F72" s="7" t="s">
        <v>20</v>
      </c>
      <c r="G72" s="28" t="s">
        <v>35</v>
      </c>
      <c r="H72" s="6">
        <v>10</v>
      </c>
      <c r="I72" s="6">
        <f t="shared" si="27"/>
        <v>10</v>
      </c>
      <c r="J72" s="8">
        <f t="shared" ref="J72" si="32">H72-I72</f>
        <v>0</v>
      </c>
      <c r="K72" s="9">
        <f t="shared" ref="K72" si="33">(I72/(I72+J72))</f>
        <v>1</v>
      </c>
    </row>
    <row r="73" spans="1:11" ht="12.75">
      <c r="A73" s="5">
        <v>72</v>
      </c>
      <c r="B73" s="5" t="s">
        <v>17</v>
      </c>
      <c r="C73" s="7" t="s">
        <v>96</v>
      </c>
      <c r="D73" s="28" t="s">
        <v>82</v>
      </c>
      <c r="E73" s="7" t="s">
        <v>124</v>
      </c>
      <c r="F73" s="7" t="s">
        <v>20</v>
      </c>
      <c r="G73" s="28" t="s">
        <v>35</v>
      </c>
      <c r="H73" s="6">
        <v>10</v>
      </c>
      <c r="I73" s="6">
        <f t="shared" si="27"/>
        <v>10</v>
      </c>
      <c r="J73" s="8">
        <f t="shared" ref="J73:J74" si="34">H73-I73</f>
        <v>0</v>
      </c>
      <c r="K73" s="9">
        <f t="shared" ref="K73:K74" si="35">(I73/(I73+J73))</f>
        <v>1</v>
      </c>
    </row>
    <row r="74" spans="1:11" ht="12.75">
      <c r="A74" s="5">
        <v>73</v>
      </c>
      <c r="B74" s="5" t="s">
        <v>17</v>
      </c>
      <c r="C74" s="7" t="s">
        <v>97</v>
      </c>
      <c r="D74" s="28" t="s">
        <v>89</v>
      </c>
      <c r="E74" s="7" t="s">
        <v>124</v>
      </c>
      <c r="F74" s="7" t="s">
        <v>20</v>
      </c>
      <c r="G74" s="28" t="s">
        <v>35</v>
      </c>
      <c r="H74" s="6">
        <v>10</v>
      </c>
      <c r="I74" s="6">
        <f t="shared" si="27"/>
        <v>10</v>
      </c>
      <c r="J74" s="8">
        <f t="shared" si="34"/>
        <v>0</v>
      </c>
      <c r="K74" s="9">
        <f t="shared" si="35"/>
        <v>1</v>
      </c>
    </row>
    <row r="75" spans="1:11" ht="12.75">
      <c r="A75" s="5">
        <v>74</v>
      </c>
      <c r="B75" s="5" t="s">
        <v>17</v>
      </c>
      <c r="C75" s="7" t="s">
        <v>43</v>
      </c>
      <c r="D75" s="28" t="s">
        <v>72</v>
      </c>
      <c r="E75" s="7" t="s">
        <v>125</v>
      </c>
      <c r="F75" s="7" t="s">
        <v>19</v>
      </c>
      <c r="G75" s="28" t="s">
        <v>35</v>
      </c>
      <c r="H75" s="6">
        <v>15</v>
      </c>
      <c r="I75" s="6">
        <f t="shared" si="27"/>
        <v>15</v>
      </c>
      <c r="J75" s="8">
        <f t="shared" ref="J75" si="36">H75-I75</f>
        <v>0</v>
      </c>
      <c r="K75" s="9">
        <f t="shared" ref="K75" si="37">(I75/(I75+J75))</f>
        <v>1</v>
      </c>
    </row>
    <row r="76" spans="1:11" ht="12.75">
      <c r="A76" s="5">
        <v>75</v>
      </c>
      <c r="B76" s="5" t="s">
        <v>50</v>
      </c>
      <c r="C76" s="7" t="s">
        <v>144</v>
      </c>
      <c r="D76" s="28" t="s">
        <v>145</v>
      </c>
      <c r="E76" s="7" t="s">
        <v>147</v>
      </c>
      <c r="F76" s="7" t="s">
        <v>146</v>
      </c>
      <c r="G76" s="28" t="s">
        <v>35</v>
      </c>
      <c r="H76" s="6">
        <v>15</v>
      </c>
      <c r="I76" s="6">
        <f t="shared" si="27"/>
        <v>15</v>
      </c>
      <c r="J76" s="8">
        <f t="shared" ref="J76" si="38">H76-I76</f>
        <v>0</v>
      </c>
      <c r="K76" s="9">
        <f t="shared" ref="K76" si="39">(I76/(I76+J76))</f>
        <v>1</v>
      </c>
    </row>
    <row r="77" spans="1:11" ht="12.75">
      <c r="A77" s="5">
        <v>76</v>
      </c>
      <c r="B77" s="5" t="s">
        <v>50</v>
      </c>
      <c r="C77" s="7" t="s">
        <v>144</v>
      </c>
      <c r="D77" s="28" t="s">
        <v>65</v>
      </c>
      <c r="E77" s="7" t="s">
        <v>149</v>
      </c>
      <c r="F77" s="7" t="s">
        <v>20</v>
      </c>
      <c r="G77" s="28" t="s">
        <v>35</v>
      </c>
      <c r="H77" s="6">
        <v>25</v>
      </c>
      <c r="I77" s="6">
        <f t="shared" si="27"/>
        <v>25</v>
      </c>
      <c r="J77" s="8">
        <f t="shared" ref="J77:J80" si="40">H77-I77</f>
        <v>0</v>
      </c>
      <c r="K77" s="9">
        <f t="shared" ref="K77:K80" si="41">(I77/(I77+J77))</f>
        <v>1</v>
      </c>
    </row>
    <row r="78" spans="1:11" ht="12.75">
      <c r="A78" s="5">
        <v>77</v>
      </c>
      <c r="B78" s="5" t="s">
        <v>50</v>
      </c>
      <c r="C78" s="7" t="s">
        <v>144</v>
      </c>
      <c r="D78" s="28" t="s">
        <v>79</v>
      </c>
      <c r="E78" s="7" t="s">
        <v>150</v>
      </c>
      <c r="F78" s="7" t="s">
        <v>19</v>
      </c>
      <c r="G78" s="28" t="s">
        <v>35</v>
      </c>
      <c r="H78" s="6">
        <v>30</v>
      </c>
      <c r="I78" s="6">
        <f t="shared" si="27"/>
        <v>30</v>
      </c>
      <c r="J78" s="8">
        <f t="shared" si="40"/>
        <v>0</v>
      </c>
      <c r="K78" s="9">
        <f t="shared" si="41"/>
        <v>1</v>
      </c>
    </row>
    <row r="79" spans="1:11" ht="12.75">
      <c r="A79" s="5">
        <v>78</v>
      </c>
      <c r="B79" s="5" t="s">
        <v>50</v>
      </c>
      <c r="C79" s="7" t="s">
        <v>144</v>
      </c>
      <c r="D79" s="28" t="s">
        <v>79</v>
      </c>
      <c r="E79" s="7" t="s">
        <v>151</v>
      </c>
      <c r="F79" s="7" t="s">
        <v>22</v>
      </c>
      <c r="G79" s="28" t="s">
        <v>35</v>
      </c>
      <c r="H79" s="6">
        <v>40</v>
      </c>
      <c r="I79" s="6">
        <f t="shared" si="27"/>
        <v>40</v>
      </c>
      <c r="J79" s="8">
        <f t="shared" si="40"/>
        <v>0</v>
      </c>
      <c r="K79" s="9">
        <f t="shared" si="41"/>
        <v>1</v>
      </c>
    </row>
    <row r="80" spans="1:11" ht="12.75">
      <c r="A80" s="5">
        <v>79</v>
      </c>
      <c r="B80" s="5" t="s">
        <v>50</v>
      </c>
      <c r="C80" s="7" t="s">
        <v>144</v>
      </c>
      <c r="D80" s="28" t="s">
        <v>79</v>
      </c>
      <c r="E80" s="7" t="s">
        <v>152</v>
      </c>
      <c r="F80" s="7" t="s">
        <v>22</v>
      </c>
      <c r="G80" s="28" t="s">
        <v>35</v>
      </c>
      <c r="H80" s="6">
        <v>45</v>
      </c>
      <c r="I80" s="6">
        <f t="shared" si="27"/>
        <v>45</v>
      </c>
      <c r="J80" s="8">
        <f t="shared" si="40"/>
        <v>0</v>
      </c>
      <c r="K80" s="9">
        <f t="shared" si="41"/>
        <v>1</v>
      </c>
    </row>
    <row r="81" spans="1:11" ht="12.75">
      <c r="A81" s="5">
        <v>80</v>
      </c>
      <c r="B81" s="5" t="s">
        <v>50</v>
      </c>
      <c r="C81" s="7" t="s">
        <v>144</v>
      </c>
      <c r="D81" s="28" t="s">
        <v>79</v>
      </c>
      <c r="E81" s="7" t="s">
        <v>153</v>
      </c>
      <c r="F81" s="7" t="s">
        <v>22</v>
      </c>
      <c r="G81" s="28" t="s">
        <v>35</v>
      </c>
      <c r="H81" s="6">
        <v>30</v>
      </c>
      <c r="I81" s="6">
        <f t="shared" si="27"/>
        <v>30</v>
      </c>
      <c r="J81" s="8">
        <f t="shared" ref="J81" si="42">H81-I81</f>
        <v>0</v>
      </c>
      <c r="K81" s="9">
        <f t="shared" ref="K81" si="43">(I81/(I81+J81))</f>
        <v>1</v>
      </c>
    </row>
    <row r="82" spans="1:11" ht="12.75">
      <c r="A82" s="5">
        <v>81</v>
      </c>
      <c r="B82" s="5" t="s">
        <v>17</v>
      </c>
      <c r="C82" s="7" t="s">
        <v>126</v>
      </c>
      <c r="D82" s="28" t="s">
        <v>127</v>
      </c>
      <c r="E82" s="7" t="s">
        <v>34</v>
      </c>
      <c r="F82" s="7" t="s">
        <v>19</v>
      </c>
      <c r="G82" s="28" t="s">
        <v>35</v>
      </c>
      <c r="H82" s="6">
        <v>20</v>
      </c>
      <c r="I82" s="6">
        <f t="shared" si="27"/>
        <v>20</v>
      </c>
      <c r="J82" s="8">
        <f t="shared" ref="J82:J86" si="44">H82-I82</f>
        <v>0</v>
      </c>
      <c r="K82" s="9">
        <f t="shared" ref="K82:K86" si="45">(I82/(I82+J82))</f>
        <v>1</v>
      </c>
    </row>
    <row r="83" spans="1:11" ht="12.75">
      <c r="A83" s="5">
        <v>82</v>
      </c>
      <c r="B83" s="5" t="s">
        <v>130</v>
      </c>
      <c r="C83" s="7" t="s">
        <v>126</v>
      </c>
      <c r="D83" s="28" t="s">
        <v>131</v>
      </c>
      <c r="E83" s="7" t="s">
        <v>134</v>
      </c>
      <c r="F83" s="7" t="s">
        <v>20</v>
      </c>
      <c r="G83" s="28" t="s">
        <v>35</v>
      </c>
      <c r="H83" s="6">
        <v>20</v>
      </c>
      <c r="I83" s="6">
        <f t="shared" si="27"/>
        <v>20</v>
      </c>
      <c r="J83" s="8">
        <f t="shared" si="44"/>
        <v>0</v>
      </c>
      <c r="K83" s="9">
        <f t="shared" si="45"/>
        <v>1</v>
      </c>
    </row>
    <row r="84" spans="1:11" ht="12.75">
      <c r="A84" s="5">
        <v>83</v>
      </c>
      <c r="B84" s="5" t="s">
        <v>130</v>
      </c>
      <c r="C84" s="7" t="s">
        <v>126</v>
      </c>
      <c r="D84" s="28" t="s">
        <v>132</v>
      </c>
      <c r="E84" s="7" t="s">
        <v>133</v>
      </c>
      <c r="F84" s="7" t="s">
        <v>20</v>
      </c>
      <c r="G84" s="28" t="s">
        <v>35</v>
      </c>
      <c r="H84" s="6">
        <v>15</v>
      </c>
      <c r="I84" s="6">
        <f t="shared" si="27"/>
        <v>15</v>
      </c>
      <c r="J84" s="8">
        <f t="shared" ref="J84" si="46">H84-I84</f>
        <v>0</v>
      </c>
      <c r="K84" s="9">
        <f t="shared" ref="K84" si="47">(I84/(I84+J84))</f>
        <v>1</v>
      </c>
    </row>
    <row r="85" spans="1:11" ht="12.75">
      <c r="A85" s="5">
        <v>84</v>
      </c>
      <c r="B85" s="5" t="s">
        <v>130</v>
      </c>
      <c r="C85" s="7" t="s">
        <v>126</v>
      </c>
      <c r="D85" s="28" t="s">
        <v>141</v>
      </c>
      <c r="E85" s="7" t="s">
        <v>142</v>
      </c>
      <c r="F85" s="7" t="s">
        <v>20</v>
      </c>
      <c r="G85" s="28" t="s">
        <v>35</v>
      </c>
      <c r="H85" s="6">
        <v>2</v>
      </c>
      <c r="I85" s="6">
        <f t="shared" si="27"/>
        <v>2</v>
      </c>
      <c r="J85" s="8">
        <f t="shared" si="44"/>
        <v>0</v>
      </c>
      <c r="K85" s="9">
        <f t="shared" si="45"/>
        <v>1</v>
      </c>
    </row>
    <row r="86" spans="1:11" ht="12.75">
      <c r="A86" s="5">
        <v>85</v>
      </c>
      <c r="B86" s="5" t="s">
        <v>17</v>
      </c>
      <c r="C86" s="7" t="s">
        <v>126</v>
      </c>
      <c r="D86" s="28" t="s">
        <v>128</v>
      </c>
      <c r="E86" s="7" t="s">
        <v>135</v>
      </c>
      <c r="F86" s="7" t="s">
        <v>20</v>
      </c>
      <c r="G86" s="28" t="s">
        <v>35</v>
      </c>
      <c r="H86" s="6">
        <v>15</v>
      </c>
      <c r="I86" s="6">
        <f t="shared" si="27"/>
        <v>15</v>
      </c>
      <c r="J86" s="8">
        <f t="shared" si="44"/>
        <v>0</v>
      </c>
      <c r="K86" s="9">
        <f t="shared" si="45"/>
        <v>1</v>
      </c>
    </row>
    <row r="87" spans="1:11" ht="12.75">
      <c r="A87" s="5">
        <v>86</v>
      </c>
      <c r="B87" s="5" t="s">
        <v>17</v>
      </c>
      <c r="C87" s="7" t="s">
        <v>126</v>
      </c>
      <c r="D87" s="28" t="s">
        <v>128</v>
      </c>
      <c r="E87" s="7" t="s">
        <v>136</v>
      </c>
      <c r="F87" s="7" t="s">
        <v>20</v>
      </c>
      <c r="G87" s="28" t="s">
        <v>35</v>
      </c>
      <c r="H87" s="6">
        <v>15</v>
      </c>
      <c r="I87" s="6">
        <f t="shared" si="27"/>
        <v>15</v>
      </c>
      <c r="J87" s="8">
        <f t="shared" ref="J87:J88" si="48">H87-I87</f>
        <v>0</v>
      </c>
      <c r="K87" s="9">
        <f t="shared" ref="K87:K88" si="49">(I87/(I87+J87))</f>
        <v>1</v>
      </c>
    </row>
    <row r="88" spans="1:11" ht="12.75">
      <c r="A88" s="5">
        <v>87</v>
      </c>
      <c r="B88" s="5" t="s">
        <v>17</v>
      </c>
      <c r="C88" s="7" t="s">
        <v>126</v>
      </c>
      <c r="D88" s="28" t="s">
        <v>128</v>
      </c>
      <c r="E88" s="7" t="s">
        <v>137</v>
      </c>
      <c r="F88" s="7" t="s">
        <v>20</v>
      </c>
      <c r="G88" s="28" t="s">
        <v>35</v>
      </c>
      <c r="H88" s="6">
        <v>30</v>
      </c>
      <c r="I88" s="6">
        <f t="shared" si="27"/>
        <v>30</v>
      </c>
      <c r="J88" s="8">
        <f t="shared" si="48"/>
        <v>0</v>
      </c>
      <c r="K88" s="9">
        <f t="shared" si="49"/>
        <v>1</v>
      </c>
    </row>
    <row r="89" spans="1:11" ht="12.75">
      <c r="A89" s="5">
        <v>88</v>
      </c>
      <c r="B89" s="5" t="s">
        <v>17</v>
      </c>
      <c r="C89" s="7" t="s">
        <v>126</v>
      </c>
      <c r="D89" s="28" t="s">
        <v>127</v>
      </c>
      <c r="E89" s="7" t="s">
        <v>138</v>
      </c>
      <c r="F89" s="7" t="s">
        <v>22</v>
      </c>
      <c r="G89" s="28" t="s">
        <v>35</v>
      </c>
      <c r="H89" s="6">
        <v>30</v>
      </c>
      <c r="I89" s="6">
        <f t="shared" si="27"/>
        <v>30</v>
      </c>
      <c r="J89" s="8">
        <f t="shared" ref="J89" si="50">H89-I89</f>
        <v>0</v>
      </c>
      <c r="K89" s="9">
        <f t="shared" ref="K89" si="51">(I89/(I89+J89))</f>
        <v>1</v>
      </c>
    </row>
    <row r="90" spans="1:11" ht="12.75">
      <c r="A90" s="5">
        <v>89</v>
      </c>
      <c r="B90" s="5" t="s">
        <v>17</v>
      </c>
      <c r="C90" s="7" t="s">
        <v>126</v>
      </c>
      <c r="D90" s="28" t="s">
        <v>127</v>
      </c>
      <c r="E90" s="7" t="s">
        <v>139</v>
      </c>
      <c r="F90" s="7" t="s">
        <v>19</v>
      </c>
      <c r="G90" s="28" t="s">
        <v>35</v>
      </c>
      <c r="H90" s="6">
        <v>20</v>
      </c>
      <c r="I90" s="6">
        <f t="shared" si="27"/>
        <v>20</v>
      </c>
      <c r="J90" s="8">
        <f t="shared" ref="J90" si="52">H90-I90</f>
        <v>0</v>
      </c>
      <c r="K90" s="9">
        <f t="shared" ref="K90" si="53">(I90/(I90+J90))</f>
        <v>1</v>
      </c>
    </row>
    <row r="91" spans="1:11" ht="12.75">
      <c r="A91" s="5">
        <v>90</v>
      </c>
      <c r="B91" s="5" t="s">
        <v>17</v>
      </c>
      <c r="C91" s="7" t="s">
        <v>126</v>
      </c>
      <c r="D91" s="28" t="s">
        <v>127</v>
      </c>
      <c r="E91" s="7" t="s">
        <v>140</v>
      </c>
      <c r="F91" s="7" t="s">
        <v>22</v>
      </c>
      <c r="G91" s="28" t="s">
        <v>35</v>
      </c>
      <c r="H91" s="6">
        <v>30</v>
      </c>
      <c r="I91" s="6">
        <f t="shared" si="27"/>
        <v>30</v>
      </c>
      <c r="J91" s="8">
        <f t="shared" ref="J91" si="54">H91-I91</f>
        <v>0</v>
      </c>
      <c r="K91" s="9">
        <f t="shared" ref="K91" si="55">(I91/(I91+J91))</f>
        <v>1</v>
      </c>
    </row>
    <row r="92" spans="1:11" ht="12.75">
      <c r="A92" s="5">
        <v>91</v>
      </c>
      <c r="B92" s="5" t="s">
        <v>50</v>
      </c>
      <c r="C92" s="7" t="s">
        <v>126</v>
      </c>
      <c r="D92" s="28" t="s">
        <v>73</v>
      </c>
      <c r="E92" s="7" t="s">
        <v>129</v>
      </c>
      <c r="F92" s="7" t="s">
        <v>19</v>
      </c>
      <c r="G92" s="28" t="s">
        <v>35</v>
      </c>
      <c r="H92" s="6">
        <v>5</v>
      </c>
      <c r="I92" s="6">
        <f t="shared" si="27"/>
        <v>5</v>
      </c>
      <c r="J92" s="8">
        <f t="shared" ref="J92" si="56">H92-I92</f>
        <v>0</v>
      </c>
      <c r="K92" s="9">
        <f t="shared" ref="K92" si="57">(I92/(I92+J92))</f>
        <v>1</v>
      </c>
    </row>
    <row r="93" spans="1:11" ht="12.75">
      <c r="A93" s="5">
        <v>92</v>
      </c>
      <c r="B93" s="5" t="s">
        <v>50</v>
      </c>
      <c r="C93" s="7" t="s">
        <v>126</v>
      </c>
      <c r="D93" s="28" t="s">
        <v>73</v>
      </c>
      <c r="E93" s="7" t="s">
        <v>143</v>
      </c>
      <c r="F93" s="7" t="s">
        <v>22</v>
      </c>
      <c r="G93" s="28" t="s">
        <v>35</v>
      </c>
      <c r="H93" s="6">
        <v>15</v>
      </c>
      <c r="I93" s="6">
        <f t="shared" si="27"/>
        <v>15</v>
      </c>
      <c r="J93" s="8">
        <f>H93-I93</f>
        <v>0</v>
      </c>
      <c r="K93" s="9">
        <f>(I93/(I93+J93))</f>
        <v>1</v>
      </c>
    </row>
    <row r="94" spans="1:11" ht="12.75">
      <c r="A94" s="5">
        <v>93</v>
      </c>
      <c r="B94" s="5" t="s">
        <v>130</v>
      </c>
      <c r="C94" s="7" t="s">
        <v>126</v>
      </c>
      <c r="D94" s="28" t="s">
        <v>132</v>
      </c>
      <c r="E94" s="7" t="s">
        <v>157</v>
      </c>
      <c r="F94" s="7" t="s">
        <v>20</v>
      </c>
      <c r="G94" s="28" t="s">
        <v>35</v>
      </c>
      <c r="H94" s="6">
        <v>20</v>
      </c>
      <c r="I94" s="6">
        <f t="shared" ref="I94" si="58">H94</f>
        <v>20</v>
      </c>
      <c r="J94" s="8">
        <f t="shared" ref="J94" si="59">H94-I94</f>
        <v>0</v>
      </c>
      <c r="K94" s="9">
        <f t="shared" ref="K94" si="60">(I94/(I94+J94))</f>
        <v>1</v>
      </c>
    </row>
    <row r="95" spans="1:11" ht="12.75">
      <c r="A95" s="5">
        <v>94</v>
      </c>
      <c r="B95" s="5" t="s">
        <v>17</v>
      </c>
      <c r="C95" s="7" t="s">
        <v>126</v>
      </c>
      <c r="D95" s="28" t="s">
        <v>123</v>
      </c>
      <c r="E95" s="7" t="s">
        <v>158</v>
      </c>
      <c r="F95" s="7" t="s">
        <v>20</v>
      </c>
      <c r="G95" s="28" t="s">
        <v>35</v>
      </c>
      <c r="H95" s="6">
        <v>10</v>
      </c>
      <c r="I95" s="6">
        <f t="shared" ref="I95:I98" si="61">H95</f>
        <v>10</v>
      </c>
      <c r="J95" s="8">
        <f t="shared" ref="J95:J98" si="62">H95-I95</f>
        <v>0</v>
      </c>
      <c r="K95" s="9">
        <f t="shared" ref="K95:K98" si="63">(I95/(I95+J95))</f>
        <v>1</v>
      </c>
    </row>
    <row r="96" spans="1:11" ht="12.75">
      <c r="A96" s="5">
        <v>95</v>
      </c>
      <c r="B96" s="5" t="s">
        <v>17</v>
      </c>
      <c r="C96" s="7" t="s">
        <v>126</v>
      </c>
      <c r="D96" s="28" t="s">
        <v>83</v>
      </c>
      <c r="E96" s="7" t="s">
        <v>159</v>
      </c>
      <c r="F96" s="7" t="s">
        <v>20</v>
      </c>
      <c r="G96" s="28" t="s">
        <v>35</v>
      </c>
      <c r="H96" s="6">
        <v>10</v>
      </c>
      <c r="I96" s="6">
        <f t="shared" si="61"/>
        <v>10</v>
      </c>
      <c r="J96" s="8">
        <f t="shared" si="62"/>
        <v>0</v>
      </c>
      <c r="K96" s="9">
        <f t="shared" si="63"/>
        <v>1</v>
      </c>
    </row>
    <row r="97" spans="1:11" ht="12.75">
      <c r="A97" s="5">
        <v>96</v>
      </c>
      <c r="B97" s="5" t="s">
        <v>17</v>
      </c>
      <c r="C97" s="7" t="s">
        <v>126</v>
      </c>
      <c r="D97" s="28" t="s">
        <v>160</v>
      </c>
      <c r="E97" s="7" t="s">
        <v>159</v>
      </c>
      <c r="F97" s="7" t="s">
        <v>20</v>
      </c>
      <c r="G97" s="28" t="s">
        <v>35</v>
      </c>
      <c r="H97" s="6">
        <v>15</v>
      </c>
      <c r="I97" s="6">
        <f t="shared" si="61"/>
        <v>15</v>
      </c>
      <c r="J97" s="8">
        <f t="shared" si="62"/>
        <v>0</v>
      </c>
      <c r="K97" s="9">
        <f t="shared" si="63"/>
        <v>1</v>
      </c>
    </row>
    <row r="98" spans="1:11" ht="12.75">
      <c r="A98" s="5">
        <v>97</v>
      </c>
      <c r="B98" s="5" t="s">
        <v>17</v>
      </c>
      <c r="C98" s="7" t="s">
        <v>126</v>
      </c>
      <c r="D98" s="28" t="s">
        <v>160</v>
      </c>
      <c r="E98" s="7" t="s">
        <v>161</v>
      </c>
      <c r="F98" s="7" t="s">
        <v>19</v>
      </c>
      <c r="G98" s="28" t="s">
        <v>35</v>
      </c>
      <c r="H98" s="6">
        <v>10</v>
      </c>
      <c r="I98" s="6">
        <f t="shared" si="61"/>
        <v>10</v>
      </c>
      <c r="J98" s="8">
        <f t="shared" si="62"/>
        <v>0</v>
      </c>
      <c r="K98" s="9">
        <f t="shared" si="63"/>
        <v>1</v>
      </c>
    </row>
    <row r="99" spans="1:11" ht="12.75">
      <c r="A99" s="5">
        <v>98</v>
      </c>
      <c r="B99" s="5" t="s">
        <v>17</v>
      </c>
      <c r="C99" s="7" t="s">
        <v>162</v>
      </c>
      <c r="D99" s="28" t="s">
        <v>163</v>
      </c>
      <c r="E99" s="7" t="s">
        <v>164</v>
      </c>
      <c r="F99" s="7" t="s">
        <v>19</v>
      </c>
      <c r="G99" s="28" t="s">
        <v>35</v>
      </c>
      <c r="H99" s="6">
        <v>15</v>
      </c>
      <c r="I99" s="6">
        <f t="shared" ref="I99:I102" si="64">H99</f>
        <v>15</v>
      </c>
      <c r="J99" s="8">
        <f t="shared" ref="J99:J102" si="65">H99-I99</f>
        <v>0</v>
      </c>
      <c r="K99" s="9">
        <f t="shared" ref="K99:K102" si="66">(I99/(I99+J99))</f>
        <v>1</v>
      </c>
    </row>
    <row r="100" spans="1:11" ht="12.75">
      <c r="A100" s="5">
        <v>99</v>
      </c>
      <c r="B100" s="5" t="s">
        <v>17</v>
      </c>
      <c r="C100" s="7" t="s">
        <v>162</v>
      </c>
      <c r="D100" s="28" t="s">
        <v>163</v>
      </c>
      <c r="E100" s="7" t="s">
        <v>165</v>
      </c>
      <c r="F100" s="7" t="s">
        <v>20</v>
      </c>
      <c r="G100" s="28" t="s">
        <v>35</v>
      </c>
      <c r="H100" s="6">
        <v>25</v>
      </c>
      <c r="I100" s="6">
        <f t="shared" si="64"/>
        <v>25</v>
      </c>
      <c r="J100" s="8">
        <f t="shared" si="65"/>
        <v>0</v>
      </c>
      <c r="K100" s="9">
        <f t="shared" si="66"/>
        <v>1</v>
      </c>
    </row>
    <row r="101" spans="1:11" ht="12.75">
      <c r="A101" s="5">
        <v>100</v>
      </c>
      <c r="B101" s="5" t="s">
        <v>17</v>
      </c>
      <c r="C101" s="7" t="s">
        <v>162</v>
      </c>
      <c r="D101" s="28" t="s">
        <v>163</v>
      </c>
      <c r="E101" s="7" t="s">
        <v>166</v>
      </c>
      <c r="F101" s="7" t="s">
        <v>19</v>
      </c>
      <c r="G101" s="28" t="s">
        <v>35</v>
      </c>
      <c r="H101" s="6">
        <v>10</v>
      </c>
      <c r="I101" s="6">
        <f t="shared" si="64"/>
        <v>10</v>
      </c>
      <c r="J101" s="8">
        <f t="shared" si="65"/>
        <v>0</v>
      </c>
      <c r="K101" s="9">
        <f t="shared" si="66"/>
        <v>1</v>
      </c>
    </row>
    <row r="102" spans="1:11" ht="12.75">
      <c r="A102" s="5">
        <v>101</v>
      </c>
      <c r="B102" s="5" t="s">
        <v>17</v>
      </c>
      <c r="C102" s="7" t="s">
        <v>162</v>
      </c>
      <c r="D102" s="28" t="s">
        <v>163</v>
      </c>
      <c r="E102" s="7" t="s">
        <v>167</v>
      </c>
      <c r="F102" s="7" t="s">
        <v>20</v>
      </c>
      <c r="G102" s="28" t="s">
        <v>35</v>
      </c>
      <c r="H102" s="6">
        <v>25</v>
      </c>
      <c r="I102" s="6">
        <f t="shared" si="64"/>
        <v>25</v>
      </c>
      <c r="J102" s="8">
        <f t="shared" si="65"/>
        <v>0</v>
      </c>
      <c r="K102" s="9">
        <f t="shared" si="66"/>
        <v>1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B3" sqref="B3"/>
    </sheetView>
  </sheetViews>
  <sheetFormatPr defaultColWidth="12.5703125" defaultRowHeight="15.75" customHeight="1"/>
  <cols>
    <col min="2" max="2" width="22.140625" customWidth="1"/>
    <col min="3" max="3" width="30.28515625" customWidth="1"/>
    <col min="4" max="4" width="24.28515625" customWidth="1"/>
  </cols>
  <sheetData>
    <row r="1" spans="1:4" ht="12.75">
      <c r="A1" s="21"/>
      <c r="B1" s="22" t="s">
        <v>30</v>
      </c>
      <c r="C1" s="23"/>
      <c r="D1" s="24"/>
    </row>
    <row r="2" spans="1:4" ht="12.75">
      <c r="A2" s="22" t="s">
        <v>12</v>
      </c>
      <c r="B2" s="21" t="s">
        <v>31</v>
      </c>
      <c r="C2" s="25" t="s">
        <v>32</v>
      </c>
      <c r="D2" s="26" t="s">
        <v>33</v>
      </c>
    </row>
    <row r="3" spans="1:4" ht="12.75">
      <c r="A3" s="21" t="s">
        <v>35</v>
      </c>
      <c r="B3" s="30">
        <v>2057</v>
      </c>
      <c r="C3" s="31">
        <v>2057</v>
      </c>
      <c r="D3" s="32">
        <v>0</v>
      </c>
    </row>
    <row r="4" spans="1:4" ht="12.75">
      <c r="A4" s="27" t="s">
        <v>168</v>
      </c>
      <c r="B4" s="33"/>
      <c r="C4" s="34"/>
      <c r="D4" s="35"/>
    </row>
    <row r="5" spans="1:4" ht="12.75">
      <c r="A5" s="36" t="s">
        <v>169</v>
      </c>
      <c r="B5" s="37">
        <v>2057</v>
      </c>
      <c r="C5" s="38">
        <v>2057</v>
      </c>
      <c r="D5" s="39">
        <v>0</v>
      </c>
    </row>
    <row r="6" spans="1:4" ht="12.75"/>
    <row r="7" spans="1:4" ht="12.75"/>
    <row r="12" spans="1:4" ht="12.75">
      <c r="A12" s="10" t="s">
        <v>16</v>
      </c>
      <c r="B12" s="11">
        <f>avancement!D2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A2" sqref="A2"/>
    </sheetView>
  </sheetViews>
  <sheetFormatPr defaultColWidth="12.5703125" defaultRowHeight="15.75" customHeight="1"/>
  <cols>
    <col min="1" max="1" width="15.7109375" customWidth="1"/>
    <col min="2" max="2" width="17.85546875" customWidth="1"/>
    <col min="3" max="3" width="17" customWidth="1"/>
    <col min="4" max="4" width="18.28515625" customWidth="1"/>
    <col min="5" max="5" width="13.7109375" customWidth="1"/>
  </cols>
  <sheetData>
    <row r="1" spans="1:5" ht="15.75" customHeight="1">
      <c r="A1" s="12" t="s">
        <v>23</v>
      </c>
      <c r="B1" s="12" t="s">
        <v>24</v>
      </c>
      <c r="C1" s="12" t="s">
        <v>25</v>
      </c>
      <c r="D1" s="12" t="s">
        <v>26</v>
      </c>
      <c r="E1" s="12" t="s">
        <v>27</v>
      </c>
    </row>
    <row r="2" spans="1:5" ht="15.75" customHeight="1">
      <c r="A2" s="13">
        <f>SUM('liste des taches'!H:H)</f>
        <v>2057</v>
      </c>
      <c r="B2" s="13">
        <f>SUM('liste des taches'!I:I)</f>
        <v>2057</v>
      </c>
      <c r="C2" s="13">
        <f>SUM('liste des taches'!J:J)</f>
        <v>0</v>
      </c>
      <c r="D2" s="14">
        <f>(B2/(B2+C2))</f>
        <v>1</v>
      </c>
      <c r="E2" s="15">
        <f>((B2+C2)-A2)/A2</f>
        <v>0</v>
      </c>
    </row>
    <row r="3" spans="1:5" ht="15.75" customHeight="1">
      <c r="A3" s="16"/>
      <c r="B3" s="16"/>
      <c r="C3" s="13">
        <f>C2/60</f>
        <v>0</v>
      </c>
      <c r="D3" s="16" t="s">
        <v>28</v>
      </c>
      <c r="E3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102"/>
  <sheetViews>
    <sheetView tabSelected="1" topLeftCell="A79" zoomScale="85" zoomScaleNormal="85" workbookViewId="0">
      <selection activeCell="K96" sqref="K96"/>
    </sheetView>
  </sheetViews>
  <sheetFormatPr defaultColWidth="12.5703125" defaultRowHeight="15.75" customHeight="1"/>
  <sheetData>
    <row r="1" spans="1:11" ht="15.75" customHeight="1">
      <c r="A1" s="17" t="s">
        <v>6</v>
      </c>
      <c r="B1" s="18" t="s">
        <v>29</v>
      </c>
      <c r="C1" s="19">
        <v>46153</v>
      </c>
      <c r="D1" s="19">
        <v>46154</v>
      </c>
      <c r="E1" s="19">
        <v>46155</v>
      </c>
      <c r="F1" s="19">
        <v>46156</v>
      </c>
      <c r="G1" s="19">
        <v>46157</v>
      </c>
      <c r="H1" s="19">
        <v>46158</v>
      </c>
      <c r="I1" s="19">
        <v>46159</v>
      </c>
      <c r="J1" s="19">
        <v>46160</v>
      </c>
    </row>
    <row r="2" spans="1:11" ht="15.75" customHeight="1">
      <c r="A2" s="20">
        <v>1</v>
      </c>
      <c r="B2" s="13">
        <f>SUM(C2:P2)</f>
        <v>10</v>
      </c>
      <c r="C2" s="16">
        <f>'liste des taches'!H2</f>
        <v>10</v>
      </c>
      <c r="D2" s="20"/>
      <c r="E2" s="16"/>
      <c r="K2" s="29"/>
    </row>
    <row r="3" spans="1:11" ht="15.75" customHeight="1">
      <c r="A3" s="20">
        <v>2</v>
      </c>
      <c r="B3" s="13">
        <f t="shared" ref="B3:B66" si="0">SUM(C3:P3)</f>
        <v>5</v>
      </c>
      <c r="C3" s="16">
        <f>'liste des taches'!H3</f>
        <v>5</v>
      </c>
      <c r="D3" s="20"/>
      <c r="E3" s="16"/>
    </row>
    <row r="4" spans="1:11" ht="15.75" customHeight="1">
      <c r="A4" s="20">
        <v>3</v>
      </c>
      <c r="B4" s="13">
        <f t="shared" si="0"/>
        <v>5</v>
      </c>
      <c r="C4" s="16">
        <f>'liste des taches'!H4</f>
        <v>5</v>
      </c>
      <c r="D4" s="20"/>
      <c r="E4" s="16"/>
    </row>
    <row r="5" spans="1:11" ht="15.75" customHeight="1">
      <c r="A5" s="20">
        <v>4</v>
      </c>
      <c r="B5" s="13">
        <f t="shared" si="0"/>
        <v>10</v>
      </c>
      <c r="C5" s="16">
        <f>'liste des taches'!H5</f>
        <v>10</v>
      </c>
      <c r="D5" s="20"/>
      <c r="E5" s="16"/>
    </row>
    <row r="6" spans="1:11" ht="15.75" customHeight="1">
      <c r="A6" s="20">
        <v>5</v>
      </c>
      <c r="B6" s="13">
        <f t="shared" si="0"/>
        <v>15</v>
      </c>
      <c r="C6" s="16">
        <f>'liste des taches'!H6</f>
        <v>15</v>
      </c>
      <c r="D6" s="20"/>
      <c r="E6" s="16"/>
    </row>
    <row r="7" spans="1:11" ht="15.75" customHeight="1">
      <c r="A7" s="20">
        <v>6</v>
      </c>
      <c r="B7" s="13">
        <f t="shared" si="0"/>
        <v>10</v>
      </c>
      <c r="C7" s="16">
        <f>'liste des taches'!H7</f>
        <v>10</v>
      </c>
      <c r="D7" s="20"/>
      <c r="E7" s="16"/>
    </row>
    <row r="8" spans="1:11" ht="15.75" customHeight="1">
      <c r="A8" s="20">
        <v>7</v>
      </c>
      <c r="B8" s="13">
        <f t="shared" si="0"/>
        <v>15</v>
      </c>
      <c r="C8" s="16">
        <f>'liste des taches'!H8</f>
        <v>15</v>
      </c>
      <c r="D8" s="20"/>
      <c r="E8" s="16"/>
    </row>
    <row r="9" spans="1:11" ht="15.75" customHeight="1">
      <c r="A9" s="20">
        <v>8</v>
      </c>
      <c r="B9" s="13">
        <f t="shared" si="0"/>
        <v>15</v>
      </c>
      <c r="C9" s="16">
        <f>'liste des taches'!H9</f>
        <v>15</v>
      </c>
      <c r="D9" s="20"/>
    </row>
    <row r="10" spans="1:11" ht="15.75" customHeight="1">
      <c r="A10" s="20">
        <v>9</v>
      </c>
      <c r="B10" s="13">
        <f t="shared" si="0"/>
        <v>10</v>
      </c>
      <c r="C10" s="16">
        <f>'liste des taches'!H10</f>
        <v>10</v>
      </c>
      <c r="D10" s="20"/>
    </row>
    <row r="11" spans="1:11" ht="15.75" customHeight="1">
      <c r="A11" s="20">
        <v>10</v>
      </c>
      <c r="B11" s="13">
        <f t="shared" si="0"/>
        <v>10</v>
      </c>
      <c r="C11" s="16">
        <f>'liste des taches'!H11</f>
        <v>10</v>
      </c>
    </row>
    <row r="12" spans="1:11" ht="15.75" customHeight="1">
      <c r="A12" s="20">
        <v>11</v>
      </c>
      <c r="B12" s="13">
        <f t="shared" si="0"/>
        <v>25</v>
      </c>
      <c r="C12" s="16">
        <f>'liste des taches'!H12</f>
        <v>25</v>
      </c>
    </row>
    <row r="13" spans="1:11" ht="15.75" customHeight="1">
      <c r="A13" s="20">
        <v>12</v>
      </c>
      <c r="B13" s="13">
        <f t="shared" si="0"/>
        <v>20</v>
      </c>
      <c r="C13" s="16">
        <f>'liste des taches'!H13</f>
        <v>20</v>
      </c>
    </row>
    <row r="14" spans="1:11" ht="15.75" customHeight="1">
      <c r="A14" s="20">
        <v>13</v>
      </c>
      <c r="B14" s="13">
        <f t="shared" si="0"/>
        <v>15</v>
      </c>
      <c r="C14" s="16"/>
      <c r="D14">
        <f>'liste des taches'!H14</f>
        <v>15</v>
      </c>
    </row>
    <row r="15" spans="1:11" ht="15.75" customHeight="1">
      <c r="A15" s="20">
        <v>14</v>
      </c>
      <c r="B15" s="13">
        <f t="shared" si="0"/>
        <v>20</v>
      </c>
      <c r="C15" s="16"/>
      <c r="D15">
        <f>'liste des taches'!H15</f>
        <v>20</v>
      </c>
    </row>
    <row r="16" spans="1:11" ht="15.75" customHeight="1">
      <c r="A16" s="20">
        <v>15</v>
      </c>
      <c r="B16" s="13">
        <f t="shared" si="0"/>
        <v>20</v>
      </c>
      <c r="C16" s="16"/>
      <c r="D16">
        <f>'liste des taches'!H16</f>
        <v>20</v>
      </c>
    </row>
    <row r="17" spans="1:4" ht="15.75" customHeight="1">
      <c r="A17" s="20">
        <v>16</v>
      </c>
      <c r="B17" s="13">
        <f t="shared" si="0"/>
        <v>25</v>
      </c>
      <c r="C17" s="16"/>
      <c r="D17">
        <f>'liste des taches'!H17</f>
        <v>25</v>
      </c>
    </row>
    <row r="18" spans="1:4" ht="15.75" customHeight="1">
      <c r="A18" s="20">
        <v>17</v>
      </c>
      <c r="B18" s="13">
        <f t="shared" si="0"/>
        <v>20</v>
      </c>
      <c r="D18">
        <f>'liste des taches'!H18</f>
        <v>20</v>
      </c>
    </row>
    <row r="19" spans="1:4" ht="15.75" customHeight="1">
      <c r="A19" s="20">
        <v>18</v>
      </c>
      <c r="B19" s="13">
        <f t="shared" si="0"/>
        <v>25</v>
      </c>
      <c r="D19">
        <f>'liste des taches'!H19</f>
        <v>25</v>
      </c>
    </row>
    <row r="20" spans="1:4" ht="15.75" customHeight="1">
      <c r="A20" s="20">
        <v>19</v>
      </c>
      <c r="B20" s="13">
        <f t="shared" si="0"/>
        <v>30</v>
      </c>
      <c r="D20">
        <f>'liste des taches'!H20</f>
        <v>30</v>
      </c>
    </row>
    <row r="21" spans="1:4" ht="15.75" customHeight="1">
      <c r="A21" s="20">
        <v>20</v>
      </c>
      <c r="B21" s="13">
        <f t="shared" si="0"/>
        <v>10</v>
      </c>
      <c r="D21">
        <f>'liste des taches'!H21</f>
        <v>10</v>
      </c>
    </row>
    <row r="22" spans="1:4" ht="15.75" customHeight="1">
      <c r="A22" s="20">
        <v>21</v>
      </c>
      <c r="B22" s="13">
        <f t="shared" si="0"/>
        <v>30</v>
      </c>
      <c r="D22">
        <f>'liste des taches'!H22</f>
        <v>30</v>
      </c>
    </row>
    <row r="23" spans="1:4" ht="15.75" customHeight="1">
      <c r="A23" s="20">
        <v>22</v>
      </c>
      <c r="B23" s="13">
        <f t="shared" si="0"/>
        <v>30</v>
      </c>
      <c r="D23">
        <f>'liste des taches'!H23</f>
        <v>30</v>
      </c>
    </row>
    <row r="24" spans="1:4" ht="15.75" customHeight="1">
      <c r="A24" s="20">
        <v>23</v>
      </c>
      <c r="B24" s="13">
        <f t="shared" si="0"/>
        <v>15</v>
      </c>
      <c r="D24">
        <f>'liste des taches'!H24</f>
        <v>15</v>
      </c>
    </row>
    <row r="25" spans="1:4" ht="15.75" customHeight="1">
      <c r="A25" s="20">
        <v>24</v>
      </c>
      <c r="B25" s="13">
        <f t="shared" si="0"/>
        <v>30</v>
      </c>
      <c r="D25">
        <f>'liste des taches'!H25</f>
        <v>30</v>
      </c>
    </row>
    <row r="26" spans="1:4" ht="15.75" customHeight="1">
      <c r="A26" s="20">
        <v>25</v>
      </c>
      <c r="B26" s="13">
        <f t="shared" si="0"/>
        <v>10</v>
      </c>
      <c r="D26">
        <f>'liste des taches'!H26</f>
        <v>10</v>
      </c>
    </row>
    <row r="27" spans="1:4" ht="15.75" customHeight="1">
      <c r="A27" s="20">
        <v>26</v>
      </c>
      <c r="B27" s="13">
        <f t="shared" si="0"/>
        <v>25</v>
      </c>
      <c r="D27">
        <f>'liste des taches'!H27</f>
        <v>25</v>
      </c>
    </row>
    <row r="28" spans="1:4" ht="15.75" customHeight="1">
      <c r="A28" s="20">
        <v>27</v>
      </c>
      <c r="B28" s="13">
        <f t="shared" si="0"/>
        <v>45</v>
      </c>
      <c r="D28">
        <f>'liste des taches'!H28</f>
        <v>45</v>
      </c>
    </row>
    <row r="29" spans="1:4" ht="15.75" customHeight="1">
      <c r="A29" s="20">
        <v>28</v>
      </c>
      <c r="B29" s="13">
        <f t="shared" si="0"/>
        <v>45</v>
      </c>
      <c r="D29">
        <f>'liste des taches'!H29</f>
        <v>45</v>
      </c>
    </row>
    <row r="30" spans="1:4" ht="15.75" customHeight="1">
      <c r="A30" s="20">
        <v>29</v>
      </c>
      <c r="B30" s="13">
        <f t="shared" si="0"/>
        <v>30</v>
      </c>
      <c r="D30">
        <f>'liste des taches'!H30</f>
        <v>30</v>
      </c>
    </row>
    <row r="31" spans="1:4" ht="15.75" customHeight="1">
      <c r="A31" s="20">
        <v>30</v>
      </c>
      <c r="B31" s="13">
        <f t="shared" si="0"/>
        <v>45</v>
      </c>
      <c r="D31">
        <f>'liste des taches'!H31</f>
        <v>45</v>
      </c>
    </row>
    <row r="32" spans="1:4" ht="15.75" customHeight="1">
      <c r="A32" s="20">
        <v>31</v>
      </c>
      <c r="B32" s="13">
        <f t="shared" si="0"/>
        <v>10</v>
      </c>
      <c r="D32">
        <f>'liste des taches'!H32</f>
        <v>10</v>
      </c>
    </row>
    <row r="33" spans="1:6" ht="15.75" customHeight="1">
      <c r="A33" s="20">
        <v>32</v>
      </c>
      <c r="B33" s="13">
        <f t="shared" si="0"/>
        <v>15</v>
      </c>
      <c r="D33">
        <f>'liste des taches'!H33</f>
        <v>15</v>
      </c>
    </row>
    <row r="34" spans="1:6" ht="15.75" customHeight="1">
      <c r="A34" s="20">
        <v>33</v>
      </c>
      <c r="B34" s="13">
        <f t="shared" si="0"/>
        <v>15</v>
      </c>
      <c r="D34">
        <f>'liste des taches'!H34</f>
        <v>15</v>
      </c>
    </row>
    <row r="35" spans="1:6" ht="15.75" customHeight="1">
      <c r="A35" s="20">
        <v>34</v>
      </c>
      <c r="B35" s="13">
        <f t="shared" si="0"/>
        <v>25</v>
      </c>
      <c r="D35">
        <f>'liste des taches'!H35</f>
        <v>25</v>
      </c>
    </row>
    <row r="36" spans="1:6" ht="15.75" customHeight="1">
      <c r="A36" s="20">
        <v>35</v>
      </c>
      <c r="B36" s="13">
        <f t="shared" si="0"/>
        <v>30</v>
      </c>
      <c r="D36">
        <f>'liste des taches'!H36</f>
        <v>30</v>
      </c>
    </row>
    <row r="37" spans="1:6" ht="15.75" customHeight="1">
      <c r="A37" s="20">
        <v>36</v>
      </c>
      <c r="B37" s="13">
        <f t="shared" si="0"/>
        <v>20</v>
      </c>
      <c r="D37">
        <f>'liste des taches'!H37</f>
        <v>20</v>
      </c>
    </row>
    <row r="38" spans="1:6" ht="15.75" customHeight="1">
      <c r="A38" s="20">
        <v>37</v>
      </c>
      <c r="B38" s="13">
        <f t="shared" si="0"/>
        <v>15</v>
      </c>
      <c r="D38">
        <f>'liste des taches'!H38</f>
        <v>15</v>
      </c>
    </row>
    <row r="39" spans="1:6" ht="15.75" customHeight="1">
      <c r="A39" s="20">
        <v>38</v>
      </c>
      <c r="B39" s="13">
        <f t="shared" si="0"/>
        <v>15</v>
      </c>
      <c r="E39">
        <f>'liste des taches'!H39</f>
        <v>15</v>
      </c>
    </row>
    <row r="40" spans="1:6" ht="15.75" customHeight="1">
      <c r="A40" s="20">
        <v>39</v>
      </c>
      <c r="B40" s="13">
        <f t="shared" si="0"/>
        <v>15</v>
      </c>
      <c r="E40">
        <f>'liste des taches'!H40</f>
        <v>15</v>
      </c>
    </row>
    <row r="41" spans="1:6" ht="15.75" customHeight="1">
      <c r="A41" s="20">
        <v>40</v>
      </c>
      <c r="B41" s="13">
        <f t="shared" si="0"/>
        <v>20</v>
      </c>
      <c r="E41">
        <f>'liste des taches'!H41</f>
        <v>20</v>
      </c>
    </row>
    <row r="42" spans="1:6" ht="15.75" customHeight="1">
      <c r="A42" s="20">
        <v>41</v>
      </c>
      <c r="B42" s="13">
        <f t="shared" si="0"/>
        <v>25</v>
      </c>
      <c r="E42">
        <f>'liste des taches'!H42</f>
        <v>25</v>
      </c>
    </row>
    <row r="43" spans="1:6" ht="15.75" customHeight="1">
      <c r="A43" s="20">
        <v>42</v>
      </c>
      <c r="B43" s="13">
        <f t="shared" si="0"/>
        <v>25</v>
      </c>
      <c r="E43">
        <f>'liste des taches'!H43</f>
        <v>25</v>
      </c>
    </row>
    <row r="44" spans="1:6" ht="15.75" customHeight="1">
      <c r="A44" s="20">
        <v>43</v>
      </c>
      <c r="B44" s="13">
        <f t="shared" si="0"/>
        <v>30</v>
      </c>
      <c r="E44">
        <f>'liste des taches'!H44</f>
        <v>30</v>
      </c>
    </row>
    <row r="45" spans="1:6" ht="15.75" customHeight="1">
      <c r="A45" s="20">
        <v>44</v>
      </c>
      <c r="B45" s="13">
        <f t="shared" si="0"/>
        <v>30</v>
      </c>
      <c r="E45">
        <f>'liste des taches'!H45</f>
        <v>30</v>
      </c>
    </row>
    <row r="46" spans="1:6" ht="15.75" customHeight="1">
      <c r="A46" s="20">
        <v>45</v>
      </c>
      <c r="B46" s="13">
        <f t="shared" si="0"/>
        <v>25</v>
      </c>
      <c r="E46">
        <f>'liste des taches'!H46</f>
        <v>25</v>
      </c>
    </row>
    <row r="47" spans="1:6" ht="15.75" customHeight="1">
      <c r="A47" s="20">
        <v>46</v>
      </c>
      <c r="B47" s="13">
        <f t="shared" si="0"/>
        <v>25</v>
      </c>
      <c r="E47">
        <f>'liste des taches'!H47</f>
        <v>25</v>
      </c>
    </row>
    <row r="48" spans="1:6" ht="15.75" customHeight="1">
      <c r="A48" s="20">
        <v>47</v>
      </c>
      <c r="B48" s="13">
        <f t="shared" si="0"/>
        <v>30</v>
      </c>
      <c r="F48">
        <f>'liste des taches'!H48</f>
        <v>30</v>
      </c>
    </row>
    <row r="49" spans="1:6" ht="15.75" customHeight="1">
      <c r="A49" s="20">
        <v>48</v>
      </c>
      <c r="B49" s="13">
        <f t="shared" si="0"/>
        <v>15</v>
      </c>
      <c r="F49">
        <f>'liste des taches'!H49</f>
        <v>15</v>
      </c>
    </row>
    <row r="50" spans="1:6" ht="15.75" customHeight="1">
      <c r="A50" s="20">
        <v>49</v>
      </c>
      <c r="B50" s="13">
        <f t="shared" si="0"/>
        <v>25</v>
      </c>
      <c r="F50">
        <f>'liste des taches'!H50</f>
        <v>25</v>
      </c>
    </row>
    <row r="51" spans="1:6" ht="15.75" customHeight="1">
      <c r="A51" s="20">
        <v>50</v>
      </c>
      <c r="B51" s="13">
        <f t="shared" si="0"/>
        <v>45</v>
      </c>
      <c r="F51">
        <f>'liste des taches'!H51</f>
        <v>45</v>
      </c>
    </row>
    <row r="52" spans="1:6" ht="15.75" customHeight="1">
      <c r="A52" s="20">
        <v>51</v>
      </c>
      <c r="B52" s="13">
        <f t="shared" si="0"/>
        <v>20</v>
      </c>
      <c r="F52">
        <f>'liste des taches'!H52</f>
        <v>20</v>
      </c>
    </row>
    <row r="53" spans="1:6" ht="15.75" customHeight="1">
      <c r="A53" s="20">
        <v>52</v>
      </c>
      <c r="B53" s="13">
        <f t="shared" si="0"/>
        <v>15</v>
      </c>
      <c r="F53">
        <f>'liste des taches'!H53</f>
        <v>15</v>
      </c>
    </row>
    <row r="54" spans="1:6" ht="15.75" customHeight="1">
      <c r="A54" s="20">
        <v>53</v>
      </c>
      <c r="B54" s="13">
        <f t="shared" si="0"/>
        <v>30</v>
      </c>
      <c r="F54">
        <f>'liste des taches'!H54</f>
        <v>30</v>
      </c>
    </row>
    <row r="55" spans="1:6" ht="15.75" customHeight="1">
      <c r="A55" s="20">
        <v>54</v>
      </c>
      <c r="B55" s="13">
        <f t="shared" si="0"/>
        <v>15</v>
      </c>
      <c r="F55">
        <f>'liste des taches'!H55</f>
        <v>15</v>
      </c>
    </row>
    <row r="56" spans="1:6" ht="15.75" customHeight="1">
      <c r="A56" s="20">
        <v>55</v>
      </c>
      <c r="B56" s="13">
        <f t="shared" si="0"/>
        <v>20</v>
      </c>
      <c r="F56">
        <f>'liste des taches'!H56</f>
        <v>20</v>
      </c>
    </row>
    <row r="57" spans="1:6" ht="15.75" customHeight="1">
      <c r="A57" s="20">
        <v>56</v>
      </c>
      <c r="B57" s="13">
        <f t="shared" si="0"/>
        <v>45</v>
      </c>
      <c r="F57">
        <f>'liste des taches'!H57</f>
        <v>45</v>
      </c>
    </row>
    <row r="58" spans="1:6" ht="15.75" customHeight="1">
      <c r="A58" s="20">
        <v>57</v>
      </c>
      <c r="B58" s="13">
        <f t="shared" si="0"/>
        <v>20</v>
      </c>
      <c r="F58">
        <f>'liste des taches'!H58</f>
        <v>20</v>
      </c>
    </row>
    <row r="59" spans="1:6" ht="15.75" customHeight="1">
      <c r="A59" s="20">
        <v>58</v>
      </c>
      <c r="B59" s="13">
        <f t="shared" si="0"/>
        <v>40</v>
      </c>
      <c r="F59">
        <f>'liste des taches'!H59</f>
        <v>40</v>
      </c>
    </row>
    <row r="60" spans="1:6" ht="15.75" customHeight="1">
      <c r="A60" s="20">
        <v>59</v>
      </c>
      <c r="B60" s="13">
        <f t="shared" si="0"/>
        <v>20</v>
      </c>
      <c r="F60">
        <f>'liste des taches'!H60</f>
        <v>20</v>
      </c>
    </row>
    <row r="61" spans="1:6" ht="15.75" customHeight="1">
      <c r="A61" s="20">
        <v>60</v>
      </c>
      <c r="B61" s="13">
        <f t="shared" si="0"/>
        <v>20</v>
      </c>
      <c r="F61">
        <f>'liste des taches'!H61</f>
        <v>20</v>
      </c>
    </row>
    <row r="62" spans="1:6" ht="15.75" customHeight="1">
      <c r="A62" s="20">
        <v>61</v>
      </c>
      <c r="B62" s="13">
        <f t="shared" si="0"/>
        <v>15</v>
      </c>
      <c r="F62">
        <f>'liste des taches'!H62</f>
        <v>15</v>
      </c>
    </row>
    <row r="63" spans="1:6" ht="15.75" customHeight="1">
      <c r="A63" s="20">
        <v>62</v>
      </c>
      <c r="B63" s="13">
        <f t="shared" si="0"/>
        <v>20</v>
      </c>
      <c r="F63">
        <f>'liste des taches'!H63</f>
        <v>20</v>
      </c>
    </row>
    <row r="64" spans="1:6" ht="15.75" customHeight="1">
      <c r="A64" s="20">
        <v>63</v>
      </c>
      <c r="B64" s="13">
        <f t="shared" si="0"/>
        <v>10</v>
      </c>
      <c r="F64">
        <f>'liste des taches'!H64</f>
        <v>10</v>
      </c>
    </row>
    <row r="65" spans="1:8" ht="15.75" customHeight="1">
      <c r="A65" s="20">
        <v>64</v>
      </c>
      <c r="B65" s="13">
        <f t="shared" si="0"/>
        <v>15</v>
      </c>
      <c r="F65">
        <f>'liste des taches'!H65</f>
        <v>15</v>
      </c>
    </row>
    <row r="66" spans="1:8" ht="15.75" customHeight="1">
      <c r="A66" s="20">
        <v>65</v>
      </c>
      <c r="B66" s="13">
        <f t="shared" si="0"/>
        <v>15</v>
      </c>
      <c r="F66">
        <f>'liste des taches'!H66</f>
        <v>15</v>
      </c>
    </row>
    <row r="67" spans="1:8" ht="15.75" customHeight="1">
      <c r="A67" s="20">
        <v>66</v>
      </c>
      <c r="B67" s="13">
        <f t="shared" ref="B67:B102" si="1">SUM(C67:P67)</f>
        <v>15</v>
      </c>
      <c r="F67">
        <f>'liste des taches'!H67</f>
        <v>15</v>
      </c>
    </row>
    <row r="68" spans="1:8" ht="15.75" customHeight="1">
      <c r="A68" s="20">
        <v>67</v>
      </c>
      <c r="B68" s="13">
        <f t="shared" si="1"/>
        <v>10</v>
      </c>
      <c r="F68">
        <f>'liste des taches'!H68</f>
        <v>10</v>
      </c>
    </row>
    <row r="69" spans="1:8" ht="15.75" customHeight="1">
      <c r="A69" s="20">
        <v>68</v>
      </c>
      <c r="B69" s="13">
        <f t="shared" si="1"/>
        <v>15</v>
      </c>
      <c r="F69">
        <f>'liste des taches'!H69</f>
        <v>15</v>
      </c>
    </row>
    <row r="70" spans="1:8" ht="15.75" customHeight="1">
      <c r="A70" s="20">
        <v>69</v>
      </c>
      <c r="B70" s="13">
        <f t="shared" si="1"/>
        <v>15</v>
      </c>
      <c r="F70">
        <f>'liste des taches'!H70</f>
        <v>15</v>
      </c>
    </row>
    <row r="71" spans="1:8" ht="15.75" customHeight="1">
      <c r="A71" s="20">
        <v>70</v>
      </c>
      <c r="B71" s="13">
        <f t="shared" si="1"/>
        <v>20</v>
      </c>
      <c r="F71">
        <f>'liste des taches'!H71</f>
        <v>20</v>
      </c>
    </row>
    <row r="72" spans="1:8" ht="15.75" customHeight="1">
      <c r="A72" s="20">
        <v>71</v>
      </c>
      <c r="B72" s="13">
        <f t="shared" si="1"/>
        <v>10</v>
      </c>
      <c r="G72">
        <f>'liste des taches'!H72</f>
        <v>10</v>
      </c>
    </row>
    <row r="73" spans="1:8" ht="15.75" customHeight="1">
      <c r="A73" s="20">
        <v>72</v>
      </c>
      <c r="B73" s="13">
        <f t="shared" si="1"/>
        <v>10</v>
      </c>
      <c r="G73">
        <f>'liste des taches'!H73</f>
        <v>10</v>
      </c>
    </row>
    <row r="74" spans="1:8" ht="15.75" customHeight="1">
      <c r="A74" s="20">
        <v>73</v>
      </c>
      <c r="B74" s="13">
        <f t="shared" si="1"/>
        <v>10</v>
      </c>
      <c r="G74">
        <f>'liste des taches'!H74</f>
        <v>10</v>
      </c>
    </row>
    <row r="75" spans="1:8" ht="15.75" customHeight="1">
      <c r="A75" s="20">
        <v>74</v>
      </c>
      <c r="B75" s="13">
        <f t="shared" si="1"/>
        <v>15</v>
      </c>
      <c r="G75">
        <f>'liste des taches'!H75</f>
        <v>15</v>
      </c>
    </row>
    <row r="76" spans="1:8" ht="15.75" customHeight="1">
      <c r="A76" s="20">
        <v>75</v>
      </c>
      <c r="B76" s="13">
        <f t="shared" si="1"/>
        <v>15</v>
      </c>
      <c r="G76">
        <f>'liste des taches'!H76</f>
        <v>15</v>
      </c>
    </row>
    <row r="77" spans="1:8" ht="15.75" customHeight="1">
      <c r="A77" s="20">
        <v>76</v>
      </c>
      <c r="B77" s="13">
        <f t="shared" si="1"/>
        <v>15</v>
      </c>
      <c r="H77">
        <f>'liste des taches'!H76</f>
        <v>15</v>
      </c>
    </row>
    <row r="78" spans="1:8" ht="15.75" customHeight="1">
      <c r="A78" s="20">
        <v>77</v>
      </c>
      <c r="B78" s="13">
        <f t="shared" si="1"/>
        <v>25</v>
      </c>
      <c r="H78">
        <f>'liste des taches'!H77</f>
        <v>25</v>
      </c>
    </row>
    <row r="79" spans="1:8" ht="15.75" customHeight="1">
      <c r="A79" s="20">
        <v>78</v>
      </c>
      <c r="B79" s="13">
        <f t="shared" si="1"/>
        <v>30</v>
      </c>
      <c r="H79">
        <f>'liste des taches'!H78</f>
        <v>30</v>
      </c>
    </row>
    <row r="80" spans="1:8" ht="15.75" customHeight="1">
      <c r="A80" s="20">
        <v>79</v>
      </c>
      <c r="B80" s="13">
        <f t="shared" si="1"/>
        <v>40</v>
      </c>
      <c r="H80">
        <f>'liste des taches'!H79</f>
        <v>40</v>
      </c>
    </row>
    <row r="81" spans="1:10" ht="15.75" customHeight="1">
      <c r="A81" s="20">
        <v>80</v>
      </c>
      <c r="B81" s="13">
        <f t="shared" si="1"/>
        <v>45</v>
      </c>
      <c r="H81">
        <f>'liste des taches'!H80</f>
        <v>45</v>
      </c>
    </row>
    <row r="82" spans="1:10" ht="15.75" customHeight="1">
      <c r="A82" s="20">
        <v>81</v>
      </c>
      <c r="B82" s="13">
        <f t="shared" si="1"/>
        <v>20</v>
      </c>
      <c r="I82">
        <f>'liste des taches'!H82</f>
        <v>20</v>
      </c>
    </row>
    <row r="83" spans="1:10" ht="15.75" customHeight="1">
      <c r="A83" s="20">
        <v>82</v>
      </c>
      <c r="B83" s="13">
        <f t="shared" si="1"/>
        <v>20</v>
      </c>
      <c r="I83">
        <f>'liste des taches'!H83</f>
        <v>20</v>
      </c>
    </row>
    <row r="84" spans="1:10" ht="15.75" customHeight="1">
      <c r="A84" s="20">
        <v>83</v>
      </c>
      <c r="B84" s="13">
        <f t="shared" si="1"/>
        <v>15</v>
      </c>
      <c r="I84">
        <f>'liste des taches'!H84</f>
        <v>15</v>
      </c>
    </row>
    <row r="85" spans="1:10" ht="15.75" customHeight="1">
      <c r="A85" s="20">
        <v>84</v>
      </c>
      <c r="B85" s="13">
        <f t="shared" si="1"/>
        <v>2</v>
      </c>
      <c r="I85">
        <f>'liste des taches'!H85</f>
        <v>2</v>
      </c>
    </row>
    <row r="86" spans="1:10" ht="15.75" customHeight="1">
      <c r="A86" s="20">
        <v>85</v>
      </c>
      <c r="B86" s="13">
        <f t="shared" si="1"/>
        <v>15</v>
      </c>
      <c r="I86">
        <f>'liste des taches'!H86</f>
        <v>15</v>
      </c>
    </row>
    <row r="87" spans="1:10" ht="15.75" customHeight="1">
      <c r="A87" s="20">
        <v>86</v>
      </c>
      <c r="B87" s="13">
        <f t="shared" si="1"/>
        <v>15</v>
      </c>
      <c r="I87">
        <f>'liste des taches'!H87</f>
        <v>15</v>
      </c>
    </row>
    <row r="88" spans="1:10" ht="15.75" customHeight="1">
      <c r="A88" s="20">
        <v>87</v>
      </c>
      <c r="B88" s="13">
        <f t="shared" si="1"/>
        <v>30</v>
      </c>
      <c r="I88">
        <f>'liste des taches'!H88</f>
        <v>30</v>
      </c>
    </row>
    <row r="89" spans="1:10" ht="15.75" customHeight="1">
      <c r="A89" s="20">
        <v>88</v>
      </c>
      <c r="B89" s="13">
        <f t="shared" si="1"/>
        <v>30</v>
      </c>
      <c r="I89">
        <f>'liste des taches'!H89</f>
        <v>30</v>
      </c>
    </row>
    <row r="90" spans="1:10" ht="15.75" customHeight="1">
      <c r="A90" s="20">
        <v>89</v>
      </c>
      <c r="B90" s="13">
        <f t="shared" si="1"/>
        <v>20</v>
      </c>
      <c r="I90">
        <f>'liste des taches'!H90</f>
        <v>20</v>
      </c>
    </row>
    <row r="91" spans="1:10" ht="15.75" customHeight="1">
      <c r="A91" s="20">
        <v>90</v>
      </c>
      <c r="B91" s="13">
        <f t="shared" si="1"/>
        <v>30</v>
      </c>
      <c r="I91">
        <f>'liste des taches'!H91</f>
        <v>30</v>
      </c>
    </row>
    <row r="92" spans="1:10" ht="15.75" customHeight="1">
      <c r="A92" s="20">
        <v>91</v>
      </c>
      <c r="B92" s="13">
        <f t="shared" si="1"/>
        <v>5</v>
      </c>
      <c r="I92">
        <f>'liste des taches'!H92</f>
        <v>5</v>
      </c>
    </row>
    <row r="93" spans="1:10" ht="15.75" customHeight="1">
      <c r="A93" s="20">
        <v>91</v>
      </c>
      <c r="B93" s="13">
        <f t="shared" si="1"/>
        <v>15</v>
      </c>
      <c r="J93">
        <f>+'liste des taches'!H93</f>
        <v>15</v>
      </c>
    </row>
    <row r="94" spans="1:10" ht="15.75" customHeight="1">
      <c r="A94" s="20">
        <v>92</v>
      </c>
      <c r="B94" s="13">
        <f t="shared" si="1"/>
        <v>20</v>
      </c>
      <c r="J94">
        <f>+'liste des taches'!H94</f>
        <v>20</v>
      </c>
    </row>
    <row r="95" spans="1:10" ht="15.75" customHeight="1">
      <c r="A95" s="20">
        <v>93</v>
      </c>
      <c r="B95" s="13">
        <f t="shared" si="1"/>
        <v>10</v>
      </c>
      <c r="J95">
        <f>+'liste des taches'!H95</f>
        <v>10</v>
      </c>
    </row>
    <row r="96" spans="1:10" ht="15.75" customHeight="1">
      <c r="A96" s="20">
        <v>94</v>
      </c>
      <c r="B96" s="13">
        <f t="shared" si="1"/>
        <v>10</v>
      </c>
      <c r="J96">
        <f>+'liste des taches'!H96</f>
        <v>10</v>
      </c>
    </row>
    <row r="97" spans="1:10" ht="15.75" customHeight="1">
      <c r="A97" s="20">
        <v>95</v>
      </c>
      <c r="B97" s="13">
        <f t="shared" si="1"/>
        <v>15</v>
      </c>
      <c r="J97">
        <f>+'liste des taches'!H97</f>
        <v>15</v>
      </c>
    </row>
    <row r="98" spans="1:10" ht="15.75" customHeight="1">
      <c r="A98" s="20">
        <v>96</v>
      </c>
      <c r="B98" s="13">
        <f t="shared" si="1"/>
        <v>10</v>
      </c>
      <c r="J98">
        <f>+'liste des taches'!H98</f>
        <v>10</v>
      </c>
    </row>
    <row r="99" spans="1:10" ht="15.75" customHeight="1">
      <c r="A99" s="20">
        <v>97</v>
      </c>
      <c r="B99" s="13">
        <f t="shared" si="1"/>
        <v>15</v>
      </c>
      <c r="J99">
        <f>+'liste des taches'!H99</f>
        <v>15</v>
      </c>
    </row>
    <row r="100" spans="1:10" ht="15.75" customHeight="1">
      <c r="A100" s="20">
        <v>98</v>
      </c>
      <c r="B100" s="13">
        <f t="shared" si="1"/>
        <v>25</v>
      </c>
      <c r="J100">
        <f>+'liste des taches'!H100</f>
        <v>25</v>
      </c>
    </row>
    <row r="101" spans="1:10" ht="15.75" customHeight="1">
      <c r="A101" s="20">
        <v>99</v>
      </c>
      <c r="B101" s="13">
        <f t="shared" si="1"/>
        <v>10</v>
      </c>
      <c r="J101">
        <f>+'liste des taches'!H101</f>
        <v>10</v>
      </c>
    </row>
    <row r="102" spans="1:10" ht="15.75" customHeight="1">
      <c r="A102" s="20">
        <v>100</v>
      </c>
      <c r="B102" s="13">
        <f t="shared" si="1"/>
        <v>25</v>
      </c>
      <c r="J102">
        <f>+'liste des taches'!H102</f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Rohy RAJAONARIVELO</cp:lastModifiedBy>
  <dcterms:modified xsi:type="dcterms:W3CDTF">2026-05-19T06:18:15Z</dcterms:modified>
</cp:coreProperties>
</file>